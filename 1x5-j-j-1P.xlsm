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05" windowWidth="11595" windowHeight="6150" firstSheet="4" activeTab="6"/>
  </bookViews>
  <sheets>
    <sheet name="Kat A-1" sheetId="1" r:id="rId1"/>
    <sheet name="Kat A-2" sheetId="4" r:id="rId2"/>
    <sheet name="Kat B-Sie&amp;Er" sheetId="3" r:id="rId3"/>
    <sheet name="Kat C-Schüler" sheetId="5" r:id="rId4"/>
    <sheet name="Kat Firmen" sheetId="6" r:id="rId5"/>
    <sheet name="Template" sheetId="89" r:id="rId6"/>
    <sheet name="Konfiguration" sheetId="7" r:id="rId7"/>
  </sheets>
  <functionGroups builtInGroupCount="17"/>
  <calcPr calcId="145621"/>
</workbook>
</file>

<file path=xl/calcChain.xml><?xml version="1.0" encoding="utf-8"?>
<calcChain xmlns="http://schemas.openxmlformats.org/spreadsheetml/2006/main">
  <c r="J25" i="6" l="1"/>
  <c r="O25" i="6"/>
  <c r="AF25" i="6"/>
  <c r="BF25" i="6"/>
  <c r="BH25" i="6"/>
  <c r="BM25" i="6"/>
  <c r="BN25" i="6"/>
  <c r="BO25" i="6"/>
  <c r="BP25" i="6"/>
  <c r="BR25" i="6"/>
  <c r="BS25" i="6"/>
  <c r="J26" i="6"/>
  <c r="O26" i="6"/>
  <c r="AF26" i="6"/>
  <c r="BF26" i="6"/>
  <c r="BH26" i="6"/>
  <c r="BM26" i="6"/>
  <c r="BN26" i="6"/>
  <c r="BO26" i="6"/>
  <c r="BP26" i="6"/>
  <c r="BR26" i="6"/>
  <c r="BS26" i="6"/>
  <c r="J27" i="6"/>
  <c r="O27" i="6"/>
  <c r="AF27" i="6"/>
  <c r="BF27" i="6"/>
  <c r="BH27" i="6"/>
  <c r="BM27" i="6"/>
  <c r="BN27" i="6"/>
  <c r="BO27" i="6"/>
  <c r="BP27" i="6"/>
  <c r="BR27" i="6"/>
  <c r="BS27" i="6"/>
  <c r="J28" i="6"/>
  <c r="O28" i="6"/>
  <c r="AF28" i="6"/>
  <c r="BF28" i="6"/>
  <c r="BH28" i="6"/>
  <c r="BM28" i="6"/>
  <c r="BN28" i="6"/>
  <c r="BO28" i="6"/>
  <c r="BP28" i="6"/>
  <c r="BR28" i="6"/>
  <c r="BS28" i="6"/>
  <c r="J29" i="6"/>
  <c r="O29" i="6"/>
  <c r="AF29" i="6"/>
  <c r="BF29" i="6"/>
  <c r="BH29" i="6"/>
  <c r="BM29" i="6"/>
  <c r="BN29" i="6"/>
  <c r="BO29" i="6"/>
  <c r="BP29" i="6"/>
  <c r="BR29" i="6"/>
  <c r="BS29" i="6"/>
  <c r="J30" i="6"/>
  <c r="O30" i="6"/>
  <c r="AF30" i="6"/>
  <c r="BF30" i="6"/>
  <c r="BH30" i="6"/>
  <c r="J31" i="6"/>
  <c r="O31" i="6"/>
  <c r="AF31" i="6"/>
  <c r="BF31" i="6"/>
  <c r="BH31" i="6"/>
  <c r="J32" i="6"/>
  <c r="O32" i="6"/>
  <c r="AF32" i="6"/>
  <c r="BF32" i="6"/>
  <c r="BH32" i="6"/>
  <c r="J33" i="6"/>
  <c r="O33" i="6"/>
  <c r="AF33" i="6"/>
  <c r="BF33" i="6"/>
  <c r="BH33" i="6"/>
  <c r="J34" i="6"/>
  <c r="O34" i="6"/>
  <c r="AF34" i="6"/>
  <c r="BF34" i="6"/>
  <c r="BH34" i="6"/>
  <c r="K40" i="6"/>
  <c r="AH40" i="6"/>
  <c r="AK40" i="6"/>
  <c r="AN40" i="6"/>
  <c r="AQ40" i="6"/>
  <c r="AS40" i="6"/>
  <c r="K41" i="6"/>
  <c r="AH41" i="6"/>
  <c r="AK41" i="6"/>
  <c r="AN41" i="6"/>
  <c r="AQ41" i="6"/>
  <c r="AS41" i="6"/>
  <c r="K42" i="6"/>
  <c r="AH42" i="6"/>
  <c r="AK42" i="6"/>
  <c r="AN42" i="6"/>
  <c r="AQ42" i="6"/>
  <c r="AS42" i="6"/>
  <c r="K43" i="6"/>
  <c r="AH43" i="6"/>
  <c r="AK43" i="6"/>
  <c r="AN43" i="6"/>
  <c r="AQ43" i="6"/>
  <c r="AS43" i="6"/>
  <c r="K44" i="6"/>
  <c r="AH44" i="6"/>
  <c r="AK44" i="6"/>
  <c r="AN44" i="6"/>
  <c r="AQ44" i="6"/>
  <c r="AS44" i="6"/>
  <c r="J25" i="5"/>
  <c r="O25" i="5"/>
  <c r="AF25" i="5"/>
  <c r="BF25" i="5"/>
  <c r="BH25" i="5"/>
  <c r="BM25" i="5"/>
  <c r="BN25" i="5"/>
  <c r="BO25" i="5"/>
  <c r="BP25" i="5"/>
  <c r="BR25" i="5"/>
  <c r="BS25" i="5"/>
  <c r="J26" i="5"/>
  <c r="O26" i="5"/>
  <c r="AF26" i="5"/>
  <c r="BF26" i="5"/>
  <c r="BH26" i="5"/>
  <c r="BM26" i="5"/>
  <c r="BN26" i="5"/>
  <c r="BO26" i="5"/>
  <c r="BP26" i="5"/>
  <c r="BR26" i="5"/>
  <c r="BS26" i="5"/>
  <c r="J27" i="5"/>
  <c r="O27" i="5"/>
  <c r="AF27" i="5"/>
  <c r="BF27" i="5"/>
  <c r="BH27" i="5"/>
  <c r="BM27" i="5"/>
  <c r="BN27" i="5"/>
  <c r="BO27" i="5"/>
  <c r="BP27" i="5"/>
  <c r="BR27" i="5"/>
  <c r="BS27" i="5"/>
  <c r="J28" i="5"/>
  <c r="O28" i="5"/>
  <c r="AF28" i="5"/>
  <c r="BF28" i="5"/>
  <c r="BH28" i="5"/>
  <c r="BM28" i="5"/>
  <c r="BN28" i="5"/>
  <c r="BO28" i="5"/>
  <c r="BP28" i="5"/>
  <c r="BR28" i="5"/>
  <c r="BS28" i="5"/>
  <c r="J29" i="5"/>
  <c r="O29" i="5"/>
  <c r="AF29" i="5"/>
  <c r="BF29" i="5"/>
  <c r="BH29" i="5"/>
  <c r="BM29" i="5"/>
  <c r="BN29" i="5"/>
  <c r="BO29" i="5"/>
  <c r="BP29" i="5"/>
  <c r="BR29" i="5"/>
  <c r="BS29" i="5"/>
  <c r="J30" i="5"/>
  <c r="O30" i="5"/>
  <c r="AF30" i="5"/>
  <c r="BF30" i="5"/>
  <c r="BH30" i="5"/>
  <c r="J31" i="5"/>
  <c r="O31" i="5"/>
  <c r="AF31" i="5"/>
  <c r="BF31" i="5"/>
  <c r="BH31" i="5"/>
  <c r="J32" i="5"/>
  <c r="O32" i="5"/>
  <c r="AF32" i="5"/>
  <c r="BF32" i="5"/>
  <c r="BH32" i="5"/>
  <c r="J33" i="5"/>
  <c r="O33" i="5"/>
  <c r="AF33" i="5"/>
  <c r="BF33" i="5"/>
  <c r="BH33" i="5"/>
  <c r="J34" i="5"/>
  <c r="O34" i="5"/>
  <c r="AF34" i="5"/>
  <c r="BF34" i="5"/>
  <c r="BH34" i="5"/>
  <c r="K40" i="5"/>
  <c r="AH40" i="5"/>
  <c r="AK40" i="5"/>
  <c r="AN40" i="5"/>
  <c r="AQ40" i="5"/>
  <c r="AS40" i="5"/>
  <c r="K41" i="5"/>
  <c r="AH41" i="5"/>
  <c r="AK41" i="5"/>
  <c r="AN41" i="5"/>
  <c r="AQ41" i="5"/>
  <c r="AS41" i="5"/>
  <c r="K42" i="5"/>
  <c r="AH42" i="5"/>
  <c r="AK42" i="5"/>
  <c r="AN42" i="5"/>
  <c r="AQ42" i="5"/>
  <c r="AS42" i="5"/>
  <c r="K43" i="5"/>
  <c r="AH43" i="5"/>
  <c r="AK43" i="5"/>
  <c r="AN43" i="5"/>
  <c r="AQ43" i="5"/>
  <c r="AS43" i="5"/>
  <c r="K44" i="5"/>
  <c r="AH44" i="5"/>
  <c r="AK44" i="5"/>
  <c r="AN44" i="5"/>
  <c r="AQ44" i="5"/>
  <c r="AS44" i="5"/>
  <c r="J25" i="3"/>
  <c r="O25" i="3"/>
  <c r="AF25" i="3"/>
  <c r="BF25" i="3"/>
  <c r="BH25" i="3"/>
  <c r="BM25" i="3"/>
  <c r="BN25" i="3"/>
  <c r="BO25" i="3"/>
  <c r="BP25" i="3"/>
  <c r="BR25" i="3"/>
  <c r="BS25" i="3"/>
  <c r="J26" i="3"/>
  <c r="O26" i="3"/>
  <c r="AF26" i="3"/>
  <c r="BF26" i="3"/>
  <c r="BH26" i="3"/>
  <c r="BM26" i="3"/>
  <c r="BN26" i="3"/>
  <c r="BO26" i="3"/>
  <c r="BP26" i="3"/>
  <c r="BR26" i="3"/>
  <c r="BS26" i="3"/>
  <c r="J27" i="3"/>
  <c r="O27" i="3"/>
  <c r="AF27" i="3"/>
  <c r="BF27" i="3"/>
  <c r="BH27" i="3"/>
  <c r="BM27" i="3"/>
  <c r="BN27" i="3"/>
  <c r="BO27" i="3"/>
  <c r="BP27" i="3"/>
  <c r="BR27" i="3"/>
  <c r="BS27" i="3"/>
  <c r="J28" i="3"/>
  <c r="O28" i="3"/>
  <c r="AF28" i="3"/>
  <c r="BF28" i="3"/>
  <c r="BH28" i="3"/>
  <c r="BM28" i="3"/>
  <c r="BN28" i="3"/>
  <c r="BO28" i="3"/>
  <c r="BP28" i="3"/>
  <c r="BR28" i="3"/>
  <c r="BS28" i="3"/>
  <c r="J29" i="3"/>
  <c r="O29" i="3"/>
  <c r="AF29" i="3"/>
  <c r="BF29" i="3"/>
  <c r="BH29" i="3"/>
  <c r="BM29" i="3"/>
  <c r="BN29" i="3"/>
  <c r="BO29" i="3"/>
  <c r="BP29" i="3"/>
  <c r="BR29" i="3"/>
  <c r="BS29" i="3"/>
  <c r="J30" i="3"/>
  <c r="O30" i="3"/>
  <c r="AF30" i="3"/>
  <c r="BF30" i="3"/>
  <c r="BH30" i="3"/>
  <c r="J31" i="3"/>
  <c r="O31" i="3"/>
  <c r="AF31" i="3"/>
  <c r="BF31" i="3"/>
  <c r="BH31" i="3"/>
  <c r="J32" i="3"/>
  <c r="O32" i="3"/>
  <c r="AF32" i="3"/>
  <c r="BF32" i="3"/>
  <c r="BH32" i="3"/>
  <c r="J33" i="3"/>
  <c r="O33" i="3"/>
  <c r="AF33" i="3"/>
  <c r="BF33" i="3"/>
  <c r="BH33" i="3"/>
  <c r="J34" i="3"/>
  <c r="O34" i="3"/>
  <c r="AF34" i="3"/>
  <c r="BF34" i="3"/>
  <c r="BH34" i="3"/>
  <c r="K40" i="3"/>
  <c r="AH40" i="3"/>
  <c r="AK40" i="3"/>
  <c r="AN40" i="3"/>
  <c r="AQ40" i="3"/>
  <c r="AS40" i="3"/>
  <c r="K41" i="3"/>
  <c r="AH41" i="3"/>
  <c r="AK41" i="3"/>
  <c r="AN41" i="3"/>
  <c r="AQ41" i="3"/>
  <c r="AS41" i="3"/>
  <c r="K42" i="3"/>
  <c r="AH42" i="3"/>
  <c r="AK42" i="3"/>
  <c r="AN42" i="3"/>
  <c r="AQ42" i="3"/>
  <c r="AS42" i="3"/>
  <c r="K43" i="3"/>
  <c r="AH43" i="3"/>
  <c r="AK43" i="3"/>
  <c r="AN43" i="3"/>
  <c r="AQ43" i="3"/>
  <c r="AS43" i="3"/>
  <c r="K44" i="3"/>
  <c r="AH44" i="3"/>
  <c r="AK44" i="3"/>
  <c r="AN44" i="3"/>
  <c r="AQ44" i="3"/>
  <c r="AS44" i="3"/>
  <c r="J25" i="4"/>
  <c r="O25" i="4"/>
  <c r="AF25" i="4"/>
  <c r="BF25" i="4"/>
  <c r="BH25" i="4"/>
  <c r="BM25" i="4"/>
  <c r="BN25" i="4"/>
  <c r="BO25" i="4"/>
  <c r="BP25" i="4"/>
  <c r="BR25" i="4"/>
  <c r="BS25" i="4"/>
  <c r="J26" i="4"/>
  <c r="O26" i="4"/>
  <c r="AF26" i="4"/>
  <c r="BF26" i="4"/>
  <c r="BH26" i="4"/>
  <c r="BM26" i="4"/>
  <c r="BN26" i="4"/>
  <c r="BO26" i="4"/>
  <c r="BP26" i="4"/>
  <c r="BR26" i="4"/>
  <c r="BS26" i="4"/>
  <c r="J27" i="4"/>
  <c r="O27" i="4"/>
  <c r="AF27" i="4"/>
  <c r="BF27" i="4"/>
  <c r="BH27" i="4"/>
  <c r="BM27" i="4"/>
  <c r="BN27" i="4"/>
  <c r="BO27" i="4"/>
  <c r="BP27" i="4"/>
  <c r="BR27" i="4"/>
  <c r="BS27" i="4"/>
  <c r="J28" i="4"/>
  <c r="O28" i="4"/>
  <c r="AF28" i="4"/>
  <c r="BF28" i="4"/>
  <c r="BH28" i="4"/>
  <c r="BM28" i="4"/>
  <c r="BN28" i="4"/>
  <c r="BO28" i="4"/>
  <c r="BP28" i="4"/>
  <c r="BR28" i="4"/>
  <c r="BS28" i="4"/>
  <c r="J29" i="4"/>
  <c r="O29" i="4"/>
  <c r="AF29" i="4"/>
  <c r="BF29" i="4"/>
  <c r="BH29" i="4"/>
  <c r="BM29" i="4"/>
  <c r="BN29" i="4"/>
  <c r="BO29" i="4"/>
  <c r="BP29" i="4"/>
  <c r="BR29" i="4"/>
  <c r="BS29" i="4"/>
  <c r="J30" i="4"/>
  <c r="O30" i="4"/>
  <c r="AF30" i="4"/>
  <c r="BF30" i="4"/>
  <c r="BH30" i="4"/>
  <c r="J31" i="4"/>
  <c r="O31" i="4"/>
  <c r="AF31" i="4"/>
  <c r="BF31" i="4"/>
  <c r="BH31" i="4"/>
  <c r="J32" i="4"/>
  <c r="O32" i="4"/>
  <c r="AF32" i="4"/>
  <c r="BF32" i="4"/>
  <c r="BH32" i="4"/>
  <c r="J33" i="4"/>
  <c r="O33" i="4"/>
  <c r="AF33" i="4"/>
  <c r="BF33" i="4"/>
  <c r="BH33" i="4"/>
  <c r="J34" i="4"/>
  <c r="O34" i="4"/>
  <c r="AF34" i="4"/>
  <c r="BF34" i="4"/>
  <c r="BH34" i="4"/>
  <c r="K40" i="4"/>
  <c r="AH40" i="4"/>
  <c r="AK40" i="4"/>
  <c r="AN40" i="4"/>
  <c r="AQ40" i="4"/>
  <c r="AS40" i="4"/>
  <c r="K41" i="4"/>
  <c r="AH41" i="4"/>
  <c r="AK41" i="4"/>
  <c r="AN41" i="4"/>
  <c r="AQ41" i="4"/>
  <c r="AS41" i="4"/>
  <c r="K42" i="4"/>
  <c r="AH42" i="4"/>
  <c r="AK42" i="4"/>
  <c r="AN42" i="4"/>
  <c r="AQ42" i="4"/>
  <c r="AS42" i="4"/>
  <c r="K43" i="4"/>
  <c r="AH43" i="4"/>
  <c r="AK43" i="4"/>
  <c r="AN43" i="4"/>
  <c r="AQ43" i="4"/>
  <c r="AS43" i="4"/>
  <c r="K44" i="4"/>
  <c r="AH44" i="4"/>
  <c r="AK44" i="4"/>
  <c r="AN44" i="4"/>
  <c r="AQ44" i="4"/>
  <c r="AS44" i="4"/>
  <c r="J25" i="1"/>
  <c r="O25" i="1"/>
  <c r="AF25" i="1"/>
  <c r="BF25" i="1"/>
  <c r="BH25" i="1"/>
  <c r="BM25" i="1"/>
  <c r="BN25" i="1"/>
  <c r="BO25" i="1"/>
  <c r="BP25" i="1"/>
  <c r="BR25" i="1"/>
  <c r="BS25" i="1"/>
  <c r="J26" i="1"/>
  <c r="O26" i="1"/>
  <c r="AF26" i="1"/>
  <c r="BF26" i="1"/>
  <c r="BH26" i="1"/>
  <c r="BM26" i="1"/>
  <c r="BN26" i="1"/>
  <c r="BO26" i="1"/>
  <c r="BP26" i="1"/>
  <c r="BR26" i="1"/>
  <c r="BS26" i="1"/>
  <c r="J27" i="1"/>
  <c r="O27" i="1"/>
  <c r="AF27" i="1"/>
  <c r="BF27" i="1"/>
  <c r="BH27" i="1"/>
  <c r="BM27" i="1"/>
  <c r="BN27" i="1"/>
  <c r="BO27" i="1"/>
  <c r="BP27" i="1"/>
  <c r="BR27" i="1"/>
  <c r="BS27" i="1"/>
  <c r="J28" i="1"/>
  <c r="O28" i="1"/>
  <c r="AF28" i="1"/>
  <c r="BF28" i="1"/>
  <c r="BH28" i="1"/>
  <c r="BM28" i="1"/>
  <c r="BN28" i="1"/>
  <c r="BO28" i="1"/>
  <c r="BP28" i="1"/>
  <c r="BR28" i="1"/>
  <c r="BS28" i="1"/>
  <c r="J29" i="1"/>
  <c r="O29" i="1"/>
  <c r="AF29" i="1"/>
  <c r="BF29" i="1"/>
  <c r="BH29" i="1"/>
  <c r="BM29" i="1"/>
  <c r="BN29" i="1"/>
  <c r="BO29" i="1"/>
  <c r="BP29" i="1"/>
  <c r="BR29" i="1"/>
  <c r="BS29" i="1"/>
  <c r="J30" i="1"/>
  <c r="O30" i="1"/>
  <c r="AF30" i="1"/>
  <c r="BF30" i="1"/>
  <c r="BH30" i="1"/>
  <c r="J31" i="1"/>
  <c r="O31" i="1"/>
  <c r="AF31" i="1"/>
  <c r="BF31" i="1"/>
  <c r="BH31" i="1"/>
  <c r="J32" i="1"/>
  <c r="O32" i="1"/>
  <c r="AF32" i="1"/>
  <c r="BF32" i="1"/>
  <c r="BH32" i="1"/>
  <c r="J33" i="1"/>
  <c r="O33" i="1"/>
  <c r="AF33" i="1"/>
  <c r="BF33" i="1"/>
  <c r="BH33" i="1"/>
  <c r="J34" i="1"/>
  <c r="O34" i="1"/>
  <c r="AF34" i="1"/>
  <c r="BF34" i="1"/>
  <c r="BH34" i="1"/>
  <c r="K40" i="1"/>
  <c r="AH40" i="1"/>
  <c r="AK40" i="1"/>
  <c r="AN40" i="1"/>
  <c r="AQ40" i="1"/>
  <c r="AS40" i="1"/>
  <c r="K41" i="1"/>
  <c r="AH41" i="1"/>
  <c r="AK41" i="1"/>
  <c r="AN41" i="1"/>
  <c r="AQ41" i="1"/>
  <c r="AS41" i="1"/>
  <c r="K42" i="1"/>
  <c r="AH42" i="1"/>
  <c r="AK42" i="1"/>
  <c r="AN42" i="1"/>
  <c r="AQ42" i="1"/>
  <c r="AS42" i="1"/>
  <c r="K43" i="1"/>
  <c r="AH43" i="1"/>
  <c r="AK43" i="1"/>
  <c r="AN43" i="1"/>
  <c r="AQ43" i="1"/>
  <c r="AS43" i="1"/>
  <c r="K44" i="1"/>
  <c r="AH44" i="1"/>
  <c r="AK44" i="1"/>
  <c r="AN44" i="1"/>
  <c r="AQ44" i="1"/>
  <c r="AS44" i="1"/>
</calcChain>
</file>

<file path=xl/sharedStrings.xml><?xml version="1.0" encoding="utf-8"?>
<sst xmlns="http://schemas.openxmlformats.org/spreadsheetml/2006/main" count="498" uniqueCount="83">
  <si>
    <t>Am</t>
  </si>
  <si>
    <t>Samstag</t>
  </si>
  <si>
    <t>, den</t>
  </si>
  <si>
    <t>Beginn:</t>
  </si>
  <si>
    <t>Uhr</t>
  </si>
  <si>
    <t>Spielzeit:</t>
  </si>
  <si>
    <t>1x</t>
  </si>
  <si>
    <t>min</t>
  </si>
  <si>
    <t>Pause:</t>
  </si>
  <si>
    <t>I. Teilnehmende Mannschaften</t>
  </si>
  <si>
    <t>1.</t>
  </si>
  <si>
    <t>2.</t>
  </si>
  <si>
    <t>3.</t>
  </si>
  <si>
    <t>4.</t>
  </si>
  <si>
    <t>5.</t>
  </si>
  <si>
    <t>Nr.</t>
  </si>
  <si>
    <t>Beginn</t>
  </si>
  <si>
    <t>Spielpaarung</t>
  </si>
  <si>
    <t>:</t>
  </si>
  <si>
    <t>-</t>
  </si>
  <si>
    <t>Ergebnis</t>
  </si>
  <si>
    <t>Pkt.</t>
  </si>
  <si>
    <t>Tore</t>
  </si>
  <si>
    <t>Diff.</t>
  </si>
  <si>
    <t>Punkte</t>
  </si>
  <si>
    <t>Logo</t>
  </si>
  <si>
    <t>x</t>
  </si>
  <si>
    <t>Platz</t>
  </si>
  <si>
    <t>Sp.</t>
  </si>
  <si>
    <t>III. Abschlußtabelle</t>
  </si>
  <si>
    <t>Gruppeneinteilung</t>
  </si>
  <si>
    <t>Mannschaft</t>
  </si>
  <si>
    <t>II. Spielplan</t>
  </si>
  <si>
    <t>Oschwand</t>
  </si>
  <si>
    <t>Bethli</t>
  </si>
  <si>
    <t>Dream Team</t>
  </si>
  <si>
    <t>Blasi Hasi</t>
  </si>
  <si>
    <t>Mach di vom Acher</t>
  </si>
  <si>
    <t>Ämmitaler Chnörz</t>
  </si>
  <si>
    <t>18. Grümpelturnier</t>
  </si>
  <si>
    <t>Kategorie A Gruppe1</t>
  </si>
  <si>
    <t>Kategorie Firmen</t>
  </si>
  <si>
    <t>Novexler</t>
  </si>
  <si>
    <t>Strahm AG</t>
  </si>
  <si>
    <t>Kraft am Werk</t>
  </si>
  <si>
    <t>Cheminéeruetene</t>
  </si>
  <si>
    <t>Schreiner Kickers</t>
  </si>
  <si>
    <t>Blaba</t>
  </si>
  <si>
    <t>Blubu</t>
  </si>
  <si>
    <t>Blibli</t>
  </si>
  <si>
    <t>Bleble</t>
  </si>
  <si>
    <t>Bloblo</t>
  </si>
  <si>
    <t>Team</t>
  </si>
  <si>
    <t>Kategorie</t>
  </si>
  <si>
    <t>A-1</t>
  </si>
  <si>
    <t>A-2</t>
  </si>
  <si>
    <t>Heidi</t>
  </si>
  <si>
    <t>Hans</t>
  </si>
  <si>
    <t>Rudolf</t>
  </si>
  <si>
    <t>Roland</t>
  </si>
  <si>
    <t>Sie&amp;Er</t>
  </si>
  <si>
    <t>Rumpel</t>
  </si>
  <si>
    <t>Stilzchen</t>
  </si>
  <si>
    <t>Schüler</t>
  </si>
  <si>
    <t>Swisscom</t>
  </si>
  <si>
    <t>Cablecom</t>
  </si>
  <si>
    <t>Sunrise</t>
  </si>
  <si>
    <t>Orange</t>
  </si>
  <si>
    <t>Firmen</t>
  </si>
  <si>
    <t>TEAMS</t>
  </si>
  <si>
    <t>Spieltag</t>
  </si>
  <si>
    <t>KATEGORIEN</t>
  </si>
  <si>
    <t>Sonntag</t>
  </si>
  <si>
    <t>Samstag, Sonntag</t>
  </si>
  <si>
    <t>TAGE</t>
  </si>
  <si>
    <t>Tag</t>
  </si>
  <si>
    <t>Bis</t>
  </si>
  <si>
    <t>Start</t>
  </si>
  <si>
    <t>{startTime}</t>
  </si>
  <si>
    <t>{team1}</t>
  </si>
  <si>
    <t>{team2}</t>
  </si>
  <si>
    <t>{category}</t>
  </si>
  <si>
    <t>{num}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</si>
</sst>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0_ ;[Red]\-0\ "/>
  </numFmts>
  <fonts count="2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sz val="22"/>
      <name val="Comic Sans MS"/>
      <family val="4"/>
    </font>
    <font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name val="Comic Sans MS"/>
      <family val="4"/>
    </font>
    <font>
      <sz val="10"/>
      <name val="Arial"/>
      <family val="2"/>
    </font>
    <font>
      <sz val="10"/>
      <color indexed="9"/>
      <name val="Arial"/>
      <family val="2"/>
    </font>
    <font>
      <sz val="18"/>
      <color indexed="9"/>
      <name val="Comic Sans MS"/>
      <family val="4"/>
    </font>
    <font>
      <sz val="12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9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5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vertical="center"/>
    </xf>
    <xf numFmtId="0" fontId="14" fillId="0" borderId="0" xfId="0" applyFont="1"/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0" xfId="0" applyFont="1"/>
    <xf numFmtId="0" fontId="6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4" fillId="0" borderId="7" xfId="0" applyFont="1" applyBorder="1"/>
    <xf numFmtId="0" fontId="14" fillId="0" borderId="0" xfId="0" applyFont="1" applyBorder="1"/>
    <xf numFmtId="0" fontId="14" fillId="0" borderId="8" xfId="0" applyFont="1" applyBorder="1"/>
    <xf numFmtId="0" fontId="8" fillId="0" borderId="7" xfId="0" applyFont="1" applyBorder="1"/>
    <xf numFmtId="0" fontId="8" fillId="0" borderId="0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3" xfId="0" applyFont="1" applyBorder="1"/>
    <xf numFmtId="0" fontId="8" fillId="0" borderId="10" xfId="0" applyFont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6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6" fillId="0" borderId="0" xfId="0" applyFont="1" applyFill="1" applyBorder="1"/>
    <xf numFmtId="0" fontId="16" fillId="0" borderId="0" xfId="0" applyFont="1" applyFill="1"/>
    <xf numFmtId="0" fontId="17" fillId="0" borderId="0" xfId="0" applyFont="1" applyFill="1" applyBorder="1"/>
    <xf numFmtId="0" fontId="17" fillId="0" borderId="0" xfId="0" applyFont="1" applyFill="1"/>
    <xf numFmtId="0" fontId="18" fillId="0" borderId="0" xfId="0" applyFont="1" applyFill="1" applyBorder="1"/>
    <xf numFmtId="0" fontId="18" fillId="0" borderId="0" xfId="0" applyFont="1" applyFill="1"/>
    <xf numFmtId="0" fontId="16" fillId="0" borderId="0" xfId="0" applyFont="1" applyFill="1" applyBorder="1" applyAlignment="1">
      <alignment vertical="center"/>
    </xf>
    <xf numFmtId="0" fontId="22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Alignment="1">
      <alignment vertical="center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Border="1" applyAlignment="1">
      <alignment horizontal="left" vertical="center" readingOrder="2"/>
    </xf>
    <xf numFmtId="0" fontId="23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25" fillId="0" borderId="0" xfId="0" applyFont="1" applyFill="1" applyBorder="1"/>
    <xf numFmtId="0" fontId="25" fillId="0" borderId="0" xfId="0" applyFont="1" applyFill="1"/>
    <xf numFmtId="0" fontId="1" fillId="0" borderId="0" xfId="0" applyFont="1" applyAlignment="1">
      <alignment vertical="center"/>
    </xf>
    <xf numFmtId="0" fontId="10" fillId="0" borderId="0" xfId="0" applyFont="1"/>
    <xf numFmtId="0" fontId="3" fillId="0" borderId="0" xfId="0" applyFont="1"/>
    <xf numFmtId="20" fontId="0" fillId="0" borderId="0" xfId="0" applyNumberFormat="1"/>
    <xf numFmtId="0" fontId="3" fillId="3" borderId="27" xfId="0" applyFont="1" applyFill="1" applyBorder="1"/>
    <xf numFmtId="0" fontId="3" fillId="3" borderId="28" xfId="0" applyFont="1" applyFill="1" applyBorder="1"/>
    <xf numFmtId="0" fontId="3" fillId="3" borderId="41" xfId="0" applyFont="1" applyFill="1" applyBorder="1"/>
    <xf numFmtId="0" fontId="1" fillId="0" borderId="43" xfId="0" applyFont="1" applyBorder="1"/>
    <xf numFmtId="20" fontId="1" fillId="0" borderId="42" xfId="0" applyNumberFormat="1" applyFont="1" applyBorder="1"/>
    <xf numFmtId="0" fontId="1" fillId="0" borderId="42" xfId="0" applyFont="1" applyBorder="1"/>
    <xf numFmtId="0" fontId="1" fillId="0" borderId="44" xfId="0" applyFont="1" applyBorder="1"/>
    <xf numFmtId="0" fontId="1" fillId="0" borderId="0" xfId="0" applyFont="1" applyBorder="1"/>
    <xf numFmtId="20" fontId="1" fillId="0" borderId="0" xfId="0" applyNumberFormat="1" applyFont="1" applyBorder="1"/>
    <xf numFmtId="0" fontId="10" fillId="0" borderId="15" xfId="0" applyFont="1" applyFill="1" applyBorder="1" applyAlignment="1">
      <alignment horizontal="left" vertical="center" shrinkToFit="1"/>
    </xf>
    <xf numFmtId="0" fontId="10" fillId="0" borderId="2" xfId="0" applyFont="1" applyFill="1" applyBorder="1" applyAlignment="1">
      <alignment horizontal="left" vertical="center" shrinkToFit="1"/>
    </xf>
    <xf numFmtId="0" fontId="10" fillId="0" borderId="16" xfId="0" applyFont="1" applyFill="1" applyBorder="1" applyAlignment="1">
      <alignment horizontal="left" vertical="center" shrinkToFit="1"/>
    </xf>
    <xf numFmtId="20" fontId="10" fillId="0" borderId="26" xfId="0" applyNumberFormat="1" applyFont="1" applyFill="1" applyBorder="1" applyAlignment="1">
      <alignment horizontal="center" vertical="center"/>
    </xf>
    <xf numFmtId="20" fontId="10" fillId="0" borderId="1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45" fontId="6" fillId="0" borderId="3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20" fontId="10" fillId="0" borderId="23" xfId="0" applyNumberFormat="1" applyFont="1" applyFill="1" applyBorder="1" applyAlignment="1">
      <alignment horizontal="center" vertical="center"/>
    </xf>
    <xf numFmtId="20" fontId="10" fillId="0" borderId="24" xfId="0" applyNumberFormat="1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left" vertical="center" shrinkToFit="1"/>
    </xf>
    <xf numFmtId="0" fontId="10" fillId="0" borderId="1" xfId="0" applyFont="1" applyFill="1" applyBorder="1" applyAlignment="1">
      <alignment horizontal="left" vertical="center" shrinkToFit="1"/>
    </xf>
    <xf numFmtId="0" fontId="10" fillId="0" borderId="25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3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165" fontId="8" fillId="0" borderId="11" xfId="0" applyNumberFormat="1" applyFont="1" applyBorder="1" applyAlignment="1">
      <alignment horizontal="center" vertical="center"/>
    </xf>
    <xf numFmtId="165" fontId="8" fillId="0" borderId="30" xfId="0" applyNumberFormat="1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 shrinkToFit="1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 shrinkToFit="1"/>
    </xf>
    <xf numFmtId="165" fontId="8" fillId="0" borderId="0" xfId="0" applyNumberFormat="1" applyFont="1" applyBorder="1" applyAlignment="1">
      <alignment horizontal="center" vertical="center"/>
    </xf>
    <xf numFmtId="165" fontId="8" fillId="0" borderId="12" xfId="0" applyNumberFormat="1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1" fillId="2" borderId="30" xfId="0" applyFont="1" applyFill="1" applyBorder="1" applyAlignment="1">
      <alignment horizontal="center" vertical="center"/>
    </xf>
    <xf numFmtId="0" fontId="11" fillId="2" borderId="39" xfId="0" applyFont="1" applyFill="1" applyBorder="1" applyAlignment="1">
      <alignment horizontal="center" vertical="center"/>
    </xf>
    <xf numFmtId="0" fontId="11" fillId="2" borderId="3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left" vertical="center" shrinkToFit="1"/>
    </xf>
    <xf numFmtId="0" fontId="3" fillId="0" borderId="17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10" fillId="0" borderId="26" xfId="0" applyNumberFormat="1" applyFont="1" applyFill="1" applyBorder="1" applyAlignment="1">
      <alignment horizontal="center" vertical="center"/>
    </xf>
    <xf numFmtId="164" fontId="10" fillId="0" borderId="15" xfId="0" applyNumberFormat="1" applyFont="1" applyFill="1" applyBorder="1" applyAlignment="1">
      <alignment horizontal="center" vertical="center"/>
    </xf>
    <xf numFmtId="20" fontId="6" fillId="0" borderId="3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36" xfId="0" applyFont="1" applyBorder="1" applyAlignment="1">
      <alignment horizontal="left" shrinkToFit="1"/>
    </xf>
    <xf numFmtId="0" fontId="9" fillId="0" borderId="37" xfId="0" applyFont="1" applyBorder="1" applyAlignment="1">
      <alignment horizontal="left" shrinkToFit="1"/>
    </xf>
    <xf numFmtId="0" fontId="9" fillId="0" borderId="0" xfId="0" applyFont="1" applyBorder="1" applyAlignment="1">
      <alignment horizontal="left" shrinkToFit="1"/>
    </xf>
    <xf numFmtId="0" fontId="9" fillId="0" borderId="8" xfId="0" applyFont="1" applyBorder="1" applyAlignment="1">
      <alignment horizontal="left" shrinkToFit="1"/>
    </xf>
    <xf numFmtId="0" fontId="9" fillId="0" borderId="35" xfId="0" applyFont="1" applyBorder="1" applyAlignment="1">
      <alignment horizontal="left" shrinkToFit="1"/>
    </xf>
    <xf numFmtId="0" fontId="9" fillId="0" borderId="38" xfId="0" applyFont="1" applyBorder="1" applyAlignment="1">
      <alignment horizontal="left" shrinkToFit="1"/>
    </xf>
    <xf numFmtId="0" fontId="9" fillId="0" borderId="39" xfId="0" applyFont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1" fillId="2" borderId="29" xfId="0" applyFont="1" applyFill="1" applyBorder="1" applyAlignment="1">
      <alignment vertical="center"/>
    </xf>
    <xf numFmtId="0" fontId="11" fillId="2" borderId="30" xfId="0" applyFont="1" applyFill="1" applyBorder="1" applyAlignment="1">
      <alignment vertical="center"/>
    </xf>
    <xf numFmtId="0" fontId="8" fillId="0" borderId="36" xfId="0" applyFont="1" applyBorder="1" applyAlignment="1">
      <alignment horizontal="left" shrinkToFit="1"/>
    </xf>
    <xf numFmtId="0" fontId="8" fillId="0" borderId="0" xfId="0" applyFont="1" applyBorder="1" applyAlignment="1">
      <alignment horizontal="left" shrinkToFit="1"/>
    </xf>
    <xf numFmtId="0" fontId="8" fillId="0" borderId="35" xfId="0" applyFont="1" applyBorder="1" applyAlignment="1">
      <alignment horizontal="left" shrinkToFit="1"/>
    </xf>
    <xf numFmtId="0" fontId="3" fillId="3" borderId="28" xfId="0" applyFont="1" applyFill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Standard" xfId="0" builtinId="0"/>
  </cellStyles>
  <dxfs count="2">
    <dxf>
      <fill>
        <patternFill>
          <bgColor theme="0" tint="-0.14996795556505021"/>
        </patternFill>
      </fill>
      <border>
        <bottom style="thick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portstabelle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110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110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62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62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519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51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724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72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826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826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9525</xdr:rowOff>
        </xdr:from>
        <xdr:to>
          <xdr:col>11</xdr:col>
          <xdr:colOff>476250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Los!</a:t>
              </a:r>
              <a:endParaRPr lang="de-CH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L44"/>
  <sheetViews>
    <sheetView zoomScale="112" zoomScaleNormal="70" workbookViewId="0">
      <selection activeCell="BW35" sqref="J20:BW35"/>
    </sheetView>
  </sheetViews>
  <sheetFormatPr baseColWidth="10" defaultColWidth="1.7109375" defaultRowHeight="12.75" x14ac:dyDescent="0.2"/>
  <cols>
    <col min="1" max="55" width="1.7109375" customWidth="1"/>
    <col min="56" max="56" width="1.7109375" style="1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17" customWidth="1"/>
    <col min="99" max="115" width="1.7109375" style="31" customWidth="1"/>
    <col min="116" max="116" width="1.7109375" style="17" customWidth="1"/>
  </cols>
  <sheetData>
    <row r="1" spans="1:116" ht="7.5" customHeight="1" x14ac:dyDescent="0.2">
      <c r="BD1" s="7"/>
      <c r="CM1" s="7"/>
      <c r="CN1" s="7"/>
      <c r="CO1" s="7"/>
      <c r="CP1" s="7"/>
      <c r="CQ1" s="7"/>
      <c r="CR1" s="7"/>
      <c r="CS1" s="7"/>
      <c r="CT1" s="7"/>
      <c r="DL1" s="7"/>
    </row>
    <row r="2" spans="1:116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CM2" s="7"/>
      <c r="CN2" s="7"/>
      <c r="CO2" s="7"/>
      <c r="CP2" s="7"/>
      <c r="CQ2" s="7"/>
      <c r="CR2" s="7"/>
      <c r="CS2" s="7"/>
      <c r="CT2" s="7"/>
      <c r="DL2" s="7"/>
    </row>
    <row r="3" spans="1:116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6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6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6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6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6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6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6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6" ht="9" customHeight="1" x14ac:dyDescent="0.2">
      <c r="BD11" s="14"/>
      <c r="CM11" s="14"/>
      <c r="CN11" s="14"/>
      <c r="CO11" s="14"/>
      <c r="CP11" s="14"/>
      <c r="CQ11" s="14"/>
      <c r="CR11" s="14"/>
      <c r="CS11" s="14"/>
      <c r="CT11" s="14"/>
      <c r="DL11" s="14"/>
    </row>
    <row r="12" spans="1:116" ht="6" customHeight="1" x14ac:dyDescent="0.2">
      <c r="BD12" s="14"/>
      <c r="CM12" s="14"/>
      <c r="CN12" s="14"/>
      <c r="CO12" s="14"/>
      <c r="CP12" s="14"/>
      <c r="CQ12" s="14"/>
      <c r="CR12" s="14"/>
      <c r="CS12" s="14"/>
      <c r="CT12" s="14"/>
      <c r="DL12" s="14"/>
    </row>
    <row r="13" spans="1:116" x14ac:dyDescent="0.2">
      <c r="B13" s="1" t="s">
        <v>9</v>
      </c>
      <c r="BD13" s="14"/>
      <c r="CM13" s="14"/>
      <c r="CN13" s="14"/>
      <c r="CO13" s="14"/>
      <c r="CP13" s="14"/>
      <c r="CQ13" s="14"/>
      <c r="CR13" s="14"/>
      <c r="CS13" s="14"/>
      <c r="CT13" s="14"/>
      <c r="DL13" s="14"/>
    </row>
    <row r="14" spans="1:116" ht="6" customHeight="1" thickBot="1" x14ac:dyDescent="0.25">
      <c r="BD14" s="14"/>
      <c r="CM14" s="14"/>
      <c r="CN14" s="14"/>
      <c r="CO14" s="14"/>
      <c r="CP14" s="14"/>
      <c r="CQ14" s="14"/>
      <c r="CR14" s="14"/>
      <c r="CS14" s="14"/>
      <c r="CT14" s="14"/>
      <c r="DL14" s="14"/>
    </row>
    <row r="15" spans="1:116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  <c r="BD15" s="14"/>
      <c r="CM15" s="14"/>
      <c r="CN15" s="14"/>
      <c r="CO15" s="14"/>
      <c r="CP15" s="14"/>
      <c r="CQ15" s="14"/>
      <c r="CR15" s="14"/>
      <c r="CS15" s="14"/>
      <c r="CT15" s="14"/>
      <c r="DL15" s="14"/>
    </row>
    <row r="16" spans="1:116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  <c r="BD16" s="14"/>
      <c r="CM16" s="14"/>
      <c r="CN16" s="14"/>
      <c r="CO16" s="14"/>
      <c r="CP16" s="14"/>
      <c r="CQ16" s="14"/>
      <c r="CR16" s="14"/>
      <c r="CS16" s="14"/>
      <c r="CT16" s="14"/>
      <c r="DL16" s="1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  <c r="BD17" s="14"/>
      <c r="CM17" s="14"/>
      <c r="CN17" s="14"/>
      <c r="CO17" s="14"/>
      <c r="CP17" s="14"/>
      <c r="CQ17" s="14"/>
      <c r="CR17" s="14"/>
      <c r="CS17" s="14"/>
      <c r="CT17" s="14"/>
      <c r="DL17" s="14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  <c r="BD18" s="14"/>
      <c r="CM18" s="14"/>
      <c r="CN18" s="14"/>
      <c r="CO18" s="14"/>
      <c r="CP18" s="14"/>
      <c r="CQ18" s="14"/>
      <c r="CR18" s="14"/>
      <c r="CS18" s="14"/>
      <c r="CT18" s="14"/>
      <c r="DL18" s="14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  <c r="BD19" s="14"/>
      <c r="CM19" s="14"/>
      <c r="CN19" s="14"/>
      <c r="CO19" s="14"/>
      <c r="CP19" s="14"/>
      <c r="CQ19" s="14"/>
      <c r="CR19" s="14"/>
      <c r="CS19" s="14"/>
      <c r="CT19" s="14"/>
      <c r="DL19" s="14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  <c r="BD20" s="14"/>
      <c r="CM20" s="14"/>
      <c r="CN20" s="14"/>
      <c r="CO20" s="14"/>
      <c r="CP20" s="14"/>
      <c r="CQ20" s="14"/>
      <c r="CR20" s="14"/>
      <c r="CS20" s="14"/>
      <c r="CT20" s="14"/>
      <c r="DL20" s="14"/>
    </row>
    <row r="21" spans="2:116" x14ac:dyDescent="0.2">
      <c r="BD21" s="14"/>
      <c r="CM21" s="14"/>
      <c r="CN21" s="14"/>
      <c r="CO21" s="14"/>
      <c r="CP21" s="14"/>
      <c r="CQ21" s="14"/>
      <c r="CR21" s="14"/>
      <c r="CS21" s="14"/>
      <c r="CT21" s="14"/>
    </row>
    <row r="22" spans="2:116" x14ac:dyDescent="0.2">
      <c r="B22" s="1" t="s">
        <v>32</v>
      </c>
      <c r="BD22" s="14"/>
      <c r="CM22" s="14"/>
      <c r="CN22" s="14"/>
      <c r="CO22" s="14"/>
      <c r="CP22" s="14"/>
      <c r="CQ22" s="14"/>
      <c r="CR22" s="14"/>
      <c r="CS22" s="14"/>
      <c r="CT22" s="14"/>
      <c r="DL22" s="14"/>
    </row>
    <row r="23" spans="2:116" ht="6" customHeight="1" thickBot="1" x14ac:dyDescent="0.25">
      <c r="BD23" s="14"/>
      <c r="CM23" s="14"/>
      <c r="CN23" s="14"/>
      <c r="CO23" s="14"/>
      <c r="CP23" s="14"/>
      <c r="CQ23" s="14"/>
      <c r="CR23" s="14"/>
      <c r="CS23" s="14"/>
      <c r="CT23" s="14"/>
      <c r="DL23" s="14"/>
    </row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16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7"/>
      <c r="CN24" s="37"/>
      <c r="CO24" s="37"/>
      <c r="CP24" s="37"/>
      <c r="CQ24" s="37"/>
      <c r="CR24" s="37"/>
      <c r="CS24" s="37"/>
      <c r="CT24" s="37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15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/>
      <c r="AX25" s="117"/>
      <c r="AY25" s="12" t="s">
        <v>18</v>
      </c>
      <c r="AZ25" s="117"/>
      <c r="BA25" s="126"/>
      <c r="BB25" s="116"/>
      <c r="BC25" s="125"/>
      <c r="BE25" s="46"/>
      <c r="BF25" s="50" t="str">
        <f>IF(ISBLANK(AW25),"0",IF(AW25&gt;AZ25,3,IF(AW25=AZ25,1,0)))</f>
        <v>0</v>
      </c>
      <c r="BG25" s="50" t="s">
        <v>18</v>
      </c>
      <c r="BH25" s="50" t="str">
        <f>IF(ISBLANK(AZ25),"0",IF(AZ25&gt;AW25,3,IF(AZ25=AW25,1,0)))</f>
        <v>0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J25+$U$10*$X$10+$AL$10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/>
      <c r="AX26" s="122"/>
      <c r="AY26" s="8" t="s">
        <v>18</v>
      </c>
      <c r="AZ26" s="122"/>
      <c r="BA26" s="123"/>
      <c r="BB26" s="114"/>
      <c r="BC26" s="115"/>
      <c r="BD26" s="16"/>
      <c r="BE26" s="46"/>
      <c r="BF26" s="50" t="e">
        <f>#N/A</f>
        <v>#N/A</v>
      </c>
      <c r="BG26" s="50" t="s">
        <v>18</v>
      </c>
      <c r="BH26" s="50" t="e">
        <f>#N/A</f>
        <v>#N/A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0</v>
      </c>
      <c r="BO26" s="52">
        <f>SUM($BH$25+$BF$28+$BF$31+$BH$34)</f>
        <v>0</v>
      </c>
      <c r="BP26" s="52">
        <f>SUM($AZ$25+$AW$28+$AW$31+$AZ$34)</f>
        <v>0</v>
      </c>
      <c r="BQ26" s="53" t="s">
        <v>18</v>
      </c>
      <c r="BR26" s="52">
        <f>SUM($AW$25+$AZ$28+$AZ$31+$AW$34)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16"/>
      <c r="CN26" s="16"/>
      <c r="CO26" s="16"/>
      <c r="CP26" s="16"/>
      <c r="CQ26" s="16"/>
      <c r="CR26" s="16"/>
      <c r="CS26" s="16"/>
      <c r="CT26" s="16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16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/>
      <c r="AX27" s="117"/>
      <c r="AY27" s="12" t="s">
        <v>18</v>
      </c>
      <c r="AZ27" s="117"/>
      <c r="BA27" s="126"/>
      <c r="BB27" s="116"/>
      <c r="BC27" s="125"/>
      <c r="BD27" s="16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0</v>
      </c>
      <c r="BO27" s="52">
        <f>SUM($BH$26+$BF$29+$BH$31+$BF$33)</f>
        <v>0</v>
      </c>
      <c r="BP27" s="52">
        <f>SUM($AZ$26+$AW$29+$AZ$31+$AW$33)</f>
        <v>0</v>
      </c>
      <c r="BQ27" s="53" t="s">
        <v>18</v>
      </c>
      <c r="BR27" s="52">
        <f>SUM($AW$26+$AZ$29+$AW$31+$AZ$33)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16"/>
      <c r="CN27" s="16"/>
      <c r="CO27" s="16"/>
      <c r="CP27" s="16"/>
      <c r="CQ27" s="16"/>
      <c r="CR27" s="16"/>
      <c r="CS27" s="16"/>
      <c r="CT27" s="16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16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/>
      <c r="AX28" s="122"/>
      <c r="AY28" s="8" t="s">
        <v>18</v>
      </c>
      <c r="AZ28" s="122"/>
      <c r="BA28" s="123"/>
      <c r="BB28" s="114"/>
      <c r="BC28" s="115"/>
      <c r="BD28" s="16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16"/>
      <c r="CN28" s="16"/>
      <c r="CO28" s="16"/>
      <c r="CP28" s="16"/>
      <c r="CQ28" s="16"/>
      <c r="CR28" s="16"/>
      <c r="CS28" s="16"/>
      <c r="CT28" s="16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16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/>
      <c r="AX29" s="117"/>
      <c r="AY29" s="12" t="s">
        <v>18</v>
      </c>
      <c r="AZ29" s="117"/>
      <c r="BA29" s="126"/>
      <c r="BB29" s="116"/>
      <c r="BC29" s="125"/>
      <c r="BD29" s="16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16"/>
      <c r="CN29" s="16"/>
      <c r="CO29" s="16"/>
      <c r="CP29" s="16"/>
      <c r="CQ29" s="16"/>
      <c r="CR29" s="16"/>
      <c r="CS29" s="16"/>
      <c r="CT29" s="16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16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/>
      <c r="AX30" s="122"/>
      <c r="AY30" s="8" t="s">
        <v>18</v>
      </c>
      <c r="AZ30" s="122"/>
      <c r="BA30" s="123"/>
      <c r="BB30" s="114"/>
      <c r="BC30" s="115"/>
      <c r="BD30" s="16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16"/>
      <c r="CN30" s="16"/>
      <c r="CO30" s="16"/>
      <c r="CP30" s="16"/>
      <c r="CQ30" s="16"/>
      <c r="CR30" s="16"/>
      <c r="CS30" s="16"/>
      <c r="CT30" s="16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16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/>
      <c r="AX31" s="117"/>
      <c r="AY31" s="12" t="s">
        <v>18</v>
      </c>
      <c r="AZ31" s="117"/>
      <c r="BA31" s="126"/>
      <c r="BB31" s="116"/>
      <c r="BC31" s="125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16"/>
      <c r="CN31" s="16"/>
      <c r="CO31" s="16"/>
      <c r="CP31" s="16"/>
      <c r="CQ31" s="16"/>
      <c r="CR31" s="16"/>
      <c r="CS31" s="16"/>
      <c r="CT31" s="16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16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/>
      <c r="AX32" s="122"/>
      <c r="AY32" s="8" t="s">
        <v>18</v>
      </c>
      <c r="AZ32" s="122"/>
      <c r="BA32" s="123"/>
      <c r="BB32" s="114"/>
      <c r="BC32" s="115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16"/>
      <c r="CN32" s="16"/>
      <c r="CO32" s="16"/>
      <c r="CP32" s="16"/>
      <c r="CQ32" s="16"/>
      <c r="CR32" s="16"/>
      <c r="CS32" s="16"/>
      <c r="CT32" s="16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16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/>
      <c r="AX33" s="117"/>
      <c r="AY33" s="12" t="s">
        <v>18</v>
      </c>
      <c r="AZ33" s="117"/>
      <c r="BA33" s="126"/>
      <c r="BB33" s="116"/>
      <c r="BC33" s="125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16"/>
      <c r="CN33" s="16"/>
      <c r="CO33" s="16"/>
      <c r="CP33" s="16"/>
      <c r="CQ33" s="16"/>
      <c r="CR33" s="16"/>
      <c r="CS33" s="16"/>
      <c r="CT33" s="16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16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/>
      <c r="AX34" s="122"/>
      <c r="AY34" s="8" t="s">
        <v>18</v>
      </c>
      <c r="AZ34" s="122"/>
      <c r="BA34" s="123"/>
      <c r="BB34" s="114"/>
      <c r="BC34" s="115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16"/>
      <c r="CN34" s="16"/>
      <c r="CO34" s="16"/>
      <c r="CP34" s="16"/>
      <c r="CQ34" s="16"/>
      <c r="CR34" s="16"/>
      <c r="CS34" s="16"/>
      <c r="CT34" s="16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16"/>
    </row>
    <row r="36" spans="2:116" x14ac:dyDescent="0.2">
      <c r="B36" s="1" t="s">
        <v>29</v>
      </c>
      <c r="BD36" s="14"/>
      <c r="CM36" s="14"/>
      <c r="CN36" s="14"/>
      <c r="CO36" s="14"/>
      <c r="CP36" s="14"/>
      <c r="CQ36" s="14"/>
      <c r="CR36" s="14"/>
      <c r="CS36" s="14"/>
      <c r="CT36" s="14"/>
      <c r="DL36" s="14"/>
    </row>
    <row r="37" spans="2:116" ht="6" customHeight="1" x14ac:dyDescent="0.2">
      <c r="BD37" s="14"/>
      <c r="CM37" s="14"/>
      <c r="CN37" s="14"/>
      <c r="CO37" s="14"/>
      <c r="CP37" s="14"/>
      <c r="CQ37" s="14"/>
      <c r="CR37" s="14"/>
      <c r="CS37" s="14"/>
      <c r="CT37" s="14"/>
      <c r="DL37" s="14"/>
    </row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  <c r="BD39" s="14"/>
      <c r="CM39" s="14"/>
      <c r="CN39" s="14"/>
      <c r="CO39" s="14"/>
      <c r="CP39" s="14"/>
      <c r="CQ39" s="14"/>
      <c r="CR39" s="14"/>
      <c r="CS39" s="14"/>
      <c r="CT39" s="14"/>
      <c r="DL39" s="14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0</v>
      </c>
      <c r="AI40" s="100"/>
      <c r="AJ40" s="102"/>
      <c r="AK40" s="100">
        <f>BO25</f>
        <v>0</v>
      </c>
      <c r="AL40" s="100"/>
      <c r="AM40" s="100"/>
      <c r="AN40" s="101">
        <f>BP25</f>
        <v>0</v>
      </c>
      <c r="AO40" s="100"/>
      <c r="AP40" s="39" t="s">
        <v>18</v>
      </c>
      <c r="AQ40" s="100">
        <f>BR25</f>
        <v>0</v>
      </c>
      <c r="AR40" s="102"/>
      <c r="AS40" s="103">
        <f>BS25</f>
        <v>0</v>
      </c>
      <c r="AT40" s="103"/>
      <c r="AU40" s="104"/>
      <c r="BD40" s="14"/>
      <c r="CM40" s="14"/>
      <c r="CN40" s="14"/>
      <c r="CO40" s="14"/>
      <c r="CP40" s="14"/>
      <c r="CQ40" s="14"/>
      <c r="CR40" s="14"/>
      <c r="CS40" s="14"/>
      <c r="CT40" s="14"/>
      <c r="DL40" s="1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0</v>
      </c>
      <c r="AI41" s="100"/>
      <c r="AJ41" s="102"/>
      <c r="AK41" s="100">
        <f>BO26</f>
        <v>0</v>
      </c>
      <c r="AL41" s="100"/>
      <c r="AM41" s="100"/>
      <c r="AN41" s="101">
        <f>BP26</f>
        <v>0</v>
      </c>
      <c r="AO41" s="100"/>
      <c r="AP41" s="39" t="s">
        <v>18</v>
      </c>
      <c r="AQ41" s="100">
        <f>BR26</f>
        <v>0</v>
      </c>
      <c r="AR41" s="102"/>
      <c r="AS41" s="103">
        <f>BS26</f>
        <v>0</v>
      </c>
      <c r="AT41" s="103"/>
      <c r="AU41" s="104"/>
      <c r="BD41" s="14"/>
      <c r="CM41" s="14"/>
      <c r="CN41" s="14"/>
      <c r="CO41" s="14"/>
      <c r="CP41" s="14"/>
      <c r="CQ41" s="14"/>
      <c r="CR41" s="14"/>
      <c r="CS41" s="14"/>
      <c r="CT41" s="14"/>
      <c r="DL41" s="1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0</v>
      </c>
      <c r="AI42" s="100"/>
      <c r="AJ42" s="102"/>
      <c r="AK42" s="100">
        <f>BO27</f>
        <v>0</v>
      </c>
      <c r="AL42" s="100"/>
      <c r="AM42" s="100"/>
      <c r="AN42" s="101">
        <f>BP27</f>
        <v>0</v>
      </c>
      <c r="AO42" s="100"/>
      <c r="AP42" s="39" t="s">
        <v>18</v>
      </c>
      <c r="AQ42" s="100">
        <f>BR27</f>
        <v>0</v>
      </c>
      <c r="AR42" s="102"/>
      <c r="AS42" s="103">
        <f>BS27</f>
        <v>0</v>
      </c>
      <c r="AT42" s="103"/>
      <c r="AU42" s="104"/>
      <c r="BD42" s="14"/>
      <c r="CM42" s="14"/>
      <c r="CN42" s="14"/>
      <c r="CO42" s="14"/>
      <c r="CP42" s="14"/>
      <c r="CQ42" s="14"/>
      <c r="CR42" s="14"/>
      <c r="CS42" s="14"/>
      <c r="CT42" s="14"/>
      <c r="DL42" s="1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0</v>
      </c>
      <c r="AI43" s="108"/>
      <c r="AJ43" s="109"/>
      <c r="AK43" s="108">
        <f>BO28</f>
        <v>0</v>
      </c>
      <c r="AL43" s="108"/>
      <c r="AM43" s="108"/>
      <c r="AN43" s="107">
        <f>BP28</f>
        <v>0</v>
      </c>
      <c r="AO43" s="108"/>
      <c r="AP43" s="38" t="s">
        <v>18</v>
      </c>
      <c r="AQ43" s="108">
        <f>BR28</f>
        <v>0</v>
      </c>
      <c r="AR43" s="109"/>
      <c r="AS43" s="111">
        <f>BS28</f>
        <v>0</v>
      </c>
      <c r="AT43" s="111"/>
      <c r="AU43" s="112"/>
      <c r="BD43" s="14"/>
      <c r="CM43" s="14"/>
      <c r="CN43" s="14"/>
      <c r="CO43" s="14"/>
      <c r="CP43" s="14"/>
      <c r="CQ43" s="14"/>
      <c r="CR43" s="14"/>
      <c r="CS43" s="14"/>
      <c r="CT43" s="14"/>
      <c r="DL43" s="14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0</v>
      </c>
      <c r="AI44" s="100"/>
      <c r="AJ44" s="102"/>
      <c r="AK44" s="100">
        <f>BO29</f>
        <v>0</v>
      </c>
      <c r="AL44" s="100"/>
      <c r="AM44" s="100"/>
      <c r="AN44" s="101">
        <f>BP29</f>
        <v>0</v>
      </c>
      <c r="AO44" s="100"/>
      <c r="AP44" s="39" t="s">
        <v>18</v>
      </c>
      <c r="AQ44" s="100">
        <f>BR29</f>
        <v>0</v>
      </c>
      <c r="AR44" s="102"/>
      <c r="AS44" s="103">
        <f>BS29</f>
        <v>0</v>
      </c>
      <c r="AT44" s="103"/>
      <c r="AU44" s="104"/>
    </row>
  </sheetData>
  <mergeCells count="164"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J24:N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51" t="s">
        <v>47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52" t="s">
        <v>48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52" t="s">
        <v>49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52" t="s">
        <v>50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53" t="s">
        <v>51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Blaba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Blubu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Blibli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Blibli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Bleble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Blubu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Bloblo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Blaba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Bleble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Blubu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Blibli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Bloblo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Bleble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Bloblo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Blaba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Blaba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Blibli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Blubu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Bleble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Blibli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Bloblo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Bleble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Blaba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Bloblo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Blubu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Blibli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Blubu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Bleble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Bloblo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Blaba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DL44"/>
  <sheetViews>
    <sheetView zoomScale="112" zoomScaleNormal="70" workbookViewId="0">
      <selection activeCell="AR21" sqref="AR21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J24:N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L44"/>
  <sheetViews>
    <sheetView topLeftCell="A10" zoomScale="112" zoomScaleNormal="70" workbookViewId="0">
      <selection activeCell="CH34" sqref="AW20:CH34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customFormat="1" ht="7.5" customHeight="1" x14ac:dyDescent="0.2">
      <c r="BD1" s="7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1"/>
      <c r="BW1" s="41"/>
      <c r="BX1" s="41"/>
      <c r="BY1" s="41"/>
      <c r="BZ1" s="41"/>
      <c r="CA1" s="41"/>
      <c r="CB1" s="4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7"/>
      <c r="CN1" s="7"/>
      <c r="CO1" s="7"/>
      <c r="CP1" s="7"/>
      <c r="CQ1" s="7"/>
      <c r="CR1" s="7"/>
      <c r="CS1" s="7"/>
      <c r="CT1" s="7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</row>
    <row r="2" spans="1:115" customFormat="1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1"/>
      <c r="BW2" s="41"/>
      <c r="BX2" s="41"/>
      <c r="BY2" s="41"/>
      <c r="BZ2" s="41"/>
      <c r="CA2" s="41"/>
      <c r="CB2" s="4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7"/>
      <c r="CN2" s="7"/>
      <c r="CO2" s="7"/>
      <c r="CP2" s="7"/>
      <c r="CQ2" s="7"/>
      <c r="CR2" s="7"/>
      <c r="CS2" s="7"/>
      <c r="CT2" s="7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41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customFormat="1" ht="9" customHeight="1" x14ac:dyDescent="0.2">
      <c r="BD11" s="7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1"/>
      <c r="BW11" s="41"/>
      <c r="BX11" s="41"/>
      <c r="BY11" s="41"/>
      <c r="BZ11" s="41"/>
      <c r="CA11" s="41"/>
      <c r="CB11" s="4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7"/>
      <c r="CN11" s="7"/>
      <c r="CO11" s="7"/>
      <c r="CP11" s="7"/>
      <c r="CQ11" s="7"/>
      <c r="CR11" s="7"/>
      <c r="CS11" s="7"/>
      <c r="CT11" s="7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</row>
    <row r="12" spans="1:115" customFormat="1" ht="6" customHeight="1" x14ac:dyDescent="0.2">
      <c r="BD12" s="7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1"/>
      <c r="BW12" s="41"/>
      <c r="BX12" s="41"/>
      <c r="BY12" s="41"/>
      <c r="BZ12" s="41"/>
      <c r="CA12" s="41"/>
      <c r="CB12" s="4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7"/>
      <c r="CN12" s="7"/>
      <c r="CO12" s="7"/>
      <c r="CP12" s="7"/>
      <c r="CQ12" s="7"/>
      <c r="CR12" s="7"/>
      <c r="CS12" s="7"/>
      <c r="CT12" s="7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</row>
    <row r="13" spans="1:115" customFormat="1" x14ac:dyDescent="0.2">
      <c r="B13" s="1" t="s">
        <v>9</v>
      </c>
      <c r="BD13" s="7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1"/>
      <c r="BW13" s="41"/>
      <c r="BX13" s="41"/>
      <c r="BY13" s="41"/>
      <c r="BZ13" s="41"/>
      <c r="CA13" s="41"/>
      <c r="CB13" s="4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7"/>
      <c r="CN13" s="7"/>
      <c r="CO13" s="7"/>
      <c r="CP13" s="7"/>
      <c r="CQ13" s="7"/>
      <c r="CR13" s="7"/>
      <c r="CS13" s="7"/>
      <c r="CT13" s="7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</row>
    <row r="14" spans="1:115" customFormat="1" ht="6" customHeight="1" thickBot="1" x14ac:dyDescent="0.25">
      <c r="BD14" s="7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1"/>
      <c r="BW14" s="41"/>
      <c r="BX14" s="41"/>
      <c r="BY14" s="41"/>
      <c r="BZ14" s="41"/>
      <c r="CA14" s="41"/>
      <c r="CB14" s="4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7"/>
      <c r="CN14" s="7"/>
      <c r="CO14" s="7"/>
      <c r="CP14" s="7"/>
      <c r="CQ14" s="7"/>
      <c r="CR14" s="7"/>
      <c r="CS14" s="7"/>
      <c r="CT14" s="7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</row>
    <row r="15" spans="1:115" customFormat="1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  <c r="BD15" s="7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1"/>
      <c r="BW15" s="41"/>
      <c r="BX15" s="41"/>
      <c r="BY15" s="41"/>
      <c r="BZ15" s="41"/>
      <c r="CA15" s="41"/>
      <c r="CB15" s="4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7"/>
      <c r="CN15" s="7"/>
      <c r="CO15" s="7"/>
      <c r="CP15" s="7"/>
      <c r="CQ15" s="7"/>
      <c r="CR15" s="7"/>
      <c r="CS15" s="7"/>
      <c r="CT15" s="7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</row>
    <row r="16" spans="1:115" customFormat="1" ht="15" x14ac:dyDescent="0.2">
      <c r="N16" s="143" t="s">
        <v>10</v>
      </c>
      <c r="O16" s="144"/>
      <c r="P16" s="137" t="s">
        <v>42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  <c r="BD16" s="7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1"/>
      <c r="BW16" s="41"/>
      <c r="BX16" s="41"/>
      <c r="BY16" s="41"/>
      <c r="BZ16" s="41"/>
      <c r="CA16" s="41"/>
      <c r="CB16" s="4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7"/>
      <c r="CN16" s="7"/>
      <c r="CO16" s="7"/>
      <c r="CP16" s="7"/>
      <c r="CQ16" s="7"/>
      <c r="CR16" s="7"/>
      <c r="CS16" s="7"/>
      <c r="CT16" s="7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</row>
    <row r="17" spans="2:116" ht="15" x14ac:dyDescent="0.2">
      <c r="N17" s="145" t="s">
        <v>11</v>
      </c>
      <c r="O17" s="146"/>
      <c r="P17" s="139" t="s">
        <v>43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46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45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44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Novexler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Strahm AG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/>
      <c r="AX25" s="117"/>
      <c r="AY25" s="12" t="s">
        <v>18</v>
      </c>
      <c r="AZ25" s="117"/>
      <c r="BA25" s="126"/>
      <c r="BB25" s="116"/>
      <c r="BC25" s="125"/>
      <c r="BE25" s="46"/>
      <c r="BF25" s="50" t="e">
        <f>#N/A</f>
        <v>#N/A</v>
      </c>
      <c r="BG25" s="50" t="s">
        <v>18</v>
      </c>
      <c r="BH25" s="50" t="e">
        <f>#N/A</f>
        <v>#N/A</v>
      </c>
      <c r="BI25" s="46"/>
      <c r="BJ25" s="46"/>
      <c r="BK25" s="46"/>
      <c r="BL25" s="46"/>
      <c r="BM25" s="54" t="str">
        <f>$P$18</f>
        <v>Schreiner Kickers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Schreiner Kickers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Cheminéeruetene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/>
      <c r="AX26" s="122"/>
      <c r="AY26" s="8" t="s">
        <v>18</v>
      </c>
      <c r="AZ26" s="122"/>
      <c r="BA26" s="123"/>
      <c r="BB26" s="114"/>
      <c r="BC26" s="115"/>
      <c r="BD26" s="58"/>
      <c r="BE26" s="46"/>
      <c r="BF26" s="50" t="str">
        <f>#N/A</f>
        <v>0</v>
      </c>
      <c r="BG26" s="50" t="s">
        <v>18</v>
      </c>
      <c r="BH26" s="50" t="str">
        <f>#N/A</f>
        <v>0</v>
      </c>
      <c r="BI26" s="46"/>
      <c r="BJ26" s="46"/>
      <c r="BK26" s="46"/>
      <c r="BL26" s="46"/>
      <c r="BM26" s="54" t="str">
        <f>$P$19</f>
        <v>Cheminéeruetene</v>
      </c>
      <c r="BN26" s="52">
        <f>COUNT($BH$26,$BF$29,$BH$31,$BF$33)</f>
        <v>0</v>
      </c>
      <c r="BO26" s="52">
        <f>SUM($BH$26+$BF$29+$BH$31+$BF$33)</f>
        <v>0</v>
      </c>
      <c r="BP26" s="52">
        <f>SUM($AZ$26+$AW$29+$AZ$31+$AW$33)</f>
        <v>0</v>
      </c>
      <c r="BQ26" s="53" t="s">
        <v>18</v>
      </c>
      <c r="BR26" s="52">
        <f>SUM($AW$26+$AZ$29+$AW$31+$AZ$33)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Kraft am Werk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Novexler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/>
      <c r="AX27" s="117"/>
      <c r="AY27" s="12" t="s">
        <v>18</v>
      </c>
      <c r="AZ27" s="117"/>
      <c r="BA27" s="126"/>
      <c r="BB27" s="116"/>
      <c r="BC27" s="125"/>
      <c r="BD27" s="58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$P$17</f>
        <v>Strahm AG</v>
      </c>
      <c r="BN27" s="52">
        <f>COUNT($BH$25,$BF$28,$BF$31,$BH$34)</f>
        <v>0</v>
      </c>
      <c r="BO27" s="52">
        <f>SUM($BH$25+$BF$28+$BF$31+$BH$34)</f>
        <v>0</v>
      </c>
      <c r="BP27" s="52">
        <f>SUM($AZ$25+$AW$28+$AW$31+$AZ$34)</f>
        <v>0</v>
      </c>
      <c r="BQ27" s="53" t="s">
        <v>18</v>
      </c>
      <c r="BR27" s="52">
        <f>SUM($AW$25+$AZ$28+$AZ$31+$AW$34)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Strahm AG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Schreiner Kickers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/>
      <c r="AX28" s="122"/>
      <c r="AY28" s="8" t="s">
        <v>18</v>
      </c>
      <c r="AZ28" s="122"/>
      <c r="BA28" s="123"/>
      <c r="BB28" s="114"/>
      <c r="BC28" s="115"/>
      <c r="BD28" s="58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Kraft am Werk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Cheminéeruetene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Kraft am Werk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/>
      <c r="AX29" s="117"/>
      <c r="AY29" s="12" t="s">
        <v>18</v>
      </c>
      <c r="AZ29" s="117"/>
      <c r="BA29" s="126"/>
      <c r="BB29" s="116"/>
      <c r="BC29" s="125"/>
      <c r="BD29" s="58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Novexler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Novexler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Schreiner Kickers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/>
      <c r="AX30" s="122"/>
      <c r="AY30" s="8" t="s">
        <v>18</v>
      </c>
      <c r="AZ30" s="122"/>
      <c r="BA30" s="123"/>
      <c r="BB30" s="114"/>
      <c r="BC30" s="115"/>
      <c r="BD30" s="58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Strahm AG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Cheminéeruetene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/>
      <c r="AX31" s="117"/>
      <c r="AY31" s="12" t="s">
        <v>18</v>
      </c>
      <c r="AZ31" s="117"/>
      <c r="BA31" s="126"/>
      <c r="BB31" s="116"/>
      <c r="BC31" s="125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Schreiner Kickers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Kraft am Werk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/>
      <c r="AX32" s="122"/>
      <c r="AY32" s="8" t="s">
        <v>18</v>
      </c>
      <c r="AZ32" s="122"/>
      <c r="BA32" s="123"/>
      <c r="BB32" s="114"/>
      <c r="BC32" s="115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Cheminéeruetene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Novexler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/>
      <c r="AX33" s="117"/>
      <c r="AY33" s="12" t="s">
        <v>18</v>
      </c>
      <c r="AZ33" s="117"/>
      <c r="BA33" s="126"/>
      <c r="BB33" s="116"/>
      <c r="BC33" s="125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Kraft am Werk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Strahm AG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/>
      <c r="AX34" s="122"/>
      <c r="AY34" s="8" t="s">
        <v>18</v>
      </c>
      <c r="AZ34" s="122"/>
      <c r="BA34" s="123"/>
      <c r="BB34" s="114"/>
      <c r="BC34" s="115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Schreiner Kickers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0</v>
      </c>
      <c r="AI40" s="100"/>
      <c r="AJ40" s="102"/>
      <c r="AK40" s="100">
        <f>BO25</f>
        <v>0</v>
      </c>
      <c r="AL40" s="100"/>
      <c r="AM40" s="100"/>
      <c r="AN40" s="101">
        <f>BP25</f>
        <v>0</v>
      </c>
      <c r="AO40" s="100"/>
      <c r="AP40" s="39" t="s">
        <v>18</v>
      </c>
      <c r="AQ40" s="100">
        <f>BR25</f>
        <v>0</v>
      </c>
      <c r="AR40" s="102"/>
      <c r="AS40" s="103">
        <f>BS25</f>
        <v>0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Cheminéeruetene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0</v>
      </c>
      <c r="AI41" s="100"/>
      <c r="AJ41" s="102"/>
      <c r="AK41" s="100">
        <f>BO26</f>
        <v>0</v>
      </c>
      <c r="AL41" s="100"/>
      <c r="AM41" s="100"/>
      <c r="AN41" s="101">
        <f>BP26</f>
        <v>0</v>
      </c>
      <c r="AO41" s="100"/>
      <c r="AP41" s="39" t="s">
        <v>18</v>
      </c>
      <c r="AQ41" s="100">
        <f>BR26</f>
        <v>0</v>
      </c>
      <c r="AR41" s="102"/>
      <c r="AS41" s="103">
        <f>BS26</f>
        <v>0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Strahm AG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0</v>
      </c>
      <c r="AI42" s="100"/>
      <c r="AJ42" s="102"/>
      <c r="AK42" s="100">
        <f>BO27</f>
        <v>0</v>
      </c>
      <c r="AL42" s="100"/>
      <c r="AM42" s="100"/>
      <c r="AN42" s="101">
        <f>BP27</f>
        <v>0</v>
      </c>
      <c r="AO42" s="100"/>
      <c r="AP42" s="39" t="s">
        <v>18</v>
      </c>
      <c r="AQ42" s="100">
        <f>BR27</f>
        <v>0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Kraft am Werk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0</v>
      </c>
      <c r="AI43" s="108"/>
      <c r="AJ43" s="109"/>
      <c r="AK43" s="108">
        <f>BO28</f>
        <v>0</v>
      </c>
      <c r="AL43" s="108"/>
      <c r="AM43" s="108"/>
      <c r="AN43" s="107">
        <f>BP28</f>
        <v>0</v>
      </c>
      <c r="AO43" s="108"/>
      <c r="AP43" s="38" t="s">
        <v>18</v>
      </c>
      <c r="AQ43" s="108">
        <f>BR28</f>
        <v>0</v>
      </c>
      <c r="AR43" s="109"/>
      <c r="AS43" s="111">
        <f>BS28</f>
        <v>0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Novexler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0</v>
      </c>
      <c r="AI44" s="100"/>
      <c r="AJ44" s="102"/>
      <c r="AK44" s="100">
        <f>BO29</f>
        <v>0</v>
      </c>
      <c r="AL44" s="100"/>
      <c r="AM44" s="100"/>
      <c r="AN44" s="101">
        <f>BP29</f>
        <v>0</v>
      </c>
      <c r="AO44" s="100"/>
      <c r="AP44" s="39" t="s">
        <v>18</v>
      </c>
      <c r="AQ44" s="100">
        <f>BR29</f>
        <v>0</v>
      </c>
      <c r="AR44" s="102"/>
      <c r="AS44" s="103">
        <f>BS29</f>
        <v>0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F6"/>
  <sheetViews>
    <sheetView workbookViewId="0">
      <selection activeCell="C4" sqref="C4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62" t="s">
        <v>15</v>
      </c>
      <c r="C2" s="63" t="s">
        <v>16</v>
      </c>
      <c r="D2" s="154" t="s">
        <v>17</v>
      </c>
      <c r="E2" s="154"/>
      <c r="F2" s="64" t="s">
        <v>53</v>
      </c>
    </row>
    <row r="3" spans="2:6" ht="17.100000000000001" customHeight="1" x14ac:dyDescent="0.2">
      <c r="B3" s="65" t="s">
        <v>82</v>
      </c>
      <c r="C3" s="66" t="s">
        <v>78</v>
      </c>
      <c r="D3" s="67" t="s">
        <v>79</v>
      </c>
      <c r="E3" s="67" t="s">
        <v>80</v>
      </c>
      <c r="F3" s="68" t="s">
        <v>81</v>
      </c>
    </row>
    <row r="4" spans="2:6" ht="17.100000000000001" customHeight="1" x14ac:dyDescent="0.2">
      <c r="B4" s="69"/>
      <c r="C4" s="70"/>
      <c r="D4" s="69"/>
      <c r="E4" s="69"/>
      <c r="F4" s="69"/>
    </row>
    <row r="5" spans="2:6" ht="17.100000000000001" customHeight="1" x14ac:dyDescent="0.2">
      <c r="B5" s="69"/>
      <c r="C5" s="70"/>
      <c r="D5" s="69"/>
      <c r="E5" s="69"/>
      <c r="F5" s="69"/>
    </row>
    <row r="6" spans="2:6" ht="17.100000000000001" customHeight="1" x14ac:dyDescent="0.2">
      <c r="B6" s="69"/>
      <c r="C6" s="70"/>
      <c r="D6" s="69"/>
      <c r="E6" s="69"/>
      <c r="F6" s="69"/>
    </row>
  </sheetData>
  <mergeCells count="1">
    <mergeCell ref="D2:E2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2:J28"/>
  <sheetViews>
    <sheetView tabSelected="1" topLeftCell="A17" workbookViewId="0">
      <selection activeCell="B40" sqref="B40"/>
    </sheetView>
  </sheetViews>
  <sheetFormatPr baseColWidth="10" defaultRowHeight="12.75" x14ac:dyDescent="0.2"/>
  <cols>
    <col min="2" max="2" width="17.5703125" customWidth="1"/>
    <col min="6" max="6" width="17.140625" customWidth="1"/>
    <col min="7" max="7" width="16.140625" customWidth="1"/>
  </cols>
  <sheetData>
    <row r="2" spans="2:10" x14ac:dyDescent="0.2">
      <c r="B2" s="155" t="s">
        <v>69</v>
      </c>
      <c r="C2" s="155"/>
      <c r="E2" s="155" t="s">
        <v>71</v>
      </c>
      <c r="F2" s="155"/>
      <c r="H2" s="155" t="s">
        <v>74</v>
      </c>
      <c r="I2" s="155"/>
    </row>
    <row r="3" spans="2:10" x14ac:dyDescent="0.2">
      <c r="B3" s="60" t="s">
        <v>52</v>
      </c>
      <c r="C3" s="60" t="s">
        <v>53</v>
      </c>
      <c r="E3" s="60" t="s">
        <v>53</v>
      </c>
      <c r="F3" s="60" t="s">
        <v>70</v>
      </c>
      <c r="H3" s="60" t="s">
        <v>75</v>
      </c>
      <c r="I3" s="60" t="s">
        <v>77</v>
      </c>
      <c r="J3" s="60" t="s">
        <v>76</v>
      </c>
    </row>
    <row r="4" spans="2:10" x14ac:dyDescent="0.2">
      <c r="B4" t="s">
        <v>33</v>
      </c>
      <c r="C4" s="59" t="s">
        <v>54</v>
      </c>
      <c r="E4" s="59" t="s">
        <v>54</v>
      </c>
      <c r="F4" s="59" t="s">
        <v>1</v>
      </c>
      <c r="H4" s="59" t="s">
        <v>1</v>
      </c>
      <c r="I4" s="61">
        <v>0.625</v>
      </c>
    </row>
    <row r="5" spans="2:10" x14ac:dyDescent="0.2">
      <c r="B5" t="s">
        <v>34</v>
      </c>
      <c r="C5" s="59" t="s">
        <v>54</v>
      </c>
      <c r="D5" s="59"/>
      <c r="E5" s="59" t="s">
        <v>55</v>
      </c>
      <c r="F5" s="59" t="s">
        <v>72</v>
      </c>
      <c r="H5" s="59" t="s">
        <v>72</v>
      </c>
      <c r="I5" s="61">
        <v>0.41666666666666669</v>
      </c>
    </row>
    <row r="6" spans="2:10" x14ac:dyDescent="0.2">
      <c r="B6" t="s">
        <v>35</v>
      </c>
      <c r="C6" s="59" t="s">
        <v>54</v>
      </c>
      <c r="E6" s="59" t="s">
        <v>60</v>
      </c>
      <c r="F6" s="59" t="s">
        <v>73</v>
      </c>
    </row>
    <row r="7" spans="2:10" x14ac:dyDescent="0.2">
      <c r="B7" t="s">
        <v>36</v>
      </c>
      <c r="C7" s="59" t="s">
        <v>54</v>
      </c>
      <c r="E7" s="59" t="s">
        <v>63</v>
      </c>
      <c r="F7" s="59" t="s">
        <v>1</v>
      </c>
    </row>
    <row r="8" spans="2:10" x14ac:dyDescent="0.2">
      <c r="B8" t="s">
        <v>37</v>
      </c>
      <c r="C8" s="59" t="s">
        <v>54</v>
      </c>
      <c r="E8" s="59" t="s">
        <v>68</v>
      </c>
      <c r="F8" s="59" t="s">
        <v>72</v>
      </c>
    </row>
    <row r="10" spans="2:10" x14ac:dyDescent="0.2">
      <c r="B10" t="s">
        <v>47</v>
      </c>
      <c r="C10" s="59" t="s">
        <v>55</v>
      </c>
    </row>
    <row r="11" spans="2:10" x14ac:dyDescent="0.2">
      <c r="B11" t="s">
        <v>48</v>
      </c>
      <c r="C11" s="59" t="s">
        <v>55</v>
      </c>
    </row>
    <row r="12" spans="2:10" x14ac:dyDescent="0.2">
      <c r="B12" t="s">
        <v>49</v>
      </c>
      <c r="C12" s="59" t="s">
        <v>55</v>
      </c>
    </row>
    <row r="13" spans="2:10" x14ac:dyDescent="0.2">
      <c r="B13" t="s">
        <v>50</v>
      </c>
      <c r="C13" s="59" t="s">
        <v>55</v>
      </c>
    </row>
    <row r="14" spans="2:10" x14ac:dyDescent="0.2">
      <c r="B14" t="s">
        <v>51</v>
      </c>
      <c r="C14" s="59" t="s">
        <v>55</v>
      </c>
    </row>
    <row r="16" spans="2:10" x14ac:dyDescent="0.2">
      <c r="B16" s="59" t="s">
        <v>56</v>
      </c>
      <c r="C16" s="59" t="s">
        <v>60</v>
      </c>
    </row>
    <row r="17" spans="2:3" x14ac:dyDescent="0.2">
      <c r="B17" s="59" t="s">
        <v>57</v>
      </c>
      <c r="C17" s="59" t="s">
        <v>60</v>
      </c>
    </row>
    <row r="18" spans="2:3" x14ac:dyDescent="0.2">
      <c r="B18" s="59" t="s">
        <v>58</v>
      </c>
      <c r="C18" s="59" t="s">
        <v>60</v>
      </c>
    </row>
    <row r="19" spans="2:3" x14ac:dyDescent="0.2">
      <c r="B19" s="59" t="s">
        <v>59</v>
      </c>
      <c r="C19" s="59" t="s">
        <v>60</v>
      </c>
    </row>
    <row r="21" spans="2:3" x14ac:dyDescent="0.2">
      <c r="B21" s="59" t="s">
        <v>61</v>
      </c>
      <c r="C21" s="59" t="s">
        <v>63</v>
      </c>
    </row>
    <row r="22" spans="2:3" x14ac:dyDescent="0.2">
      <c r="B22" s="59" t="s">
        <v>62</v>
      </c>
      <c r="C22" s="59" t="s">
        <v>63</v>
      </c>
    </row>
    <row r="23" spans="2:3" x14ac:dyDescent="0.2">
      <c r="B23" s="59" t="s">
        <v>57</v>
      </c>
      <c r="C23" s="59" t="s">
        <v>63</v>
      </c>
    </row>
    <row r="25" spans="2:3" x14ac:dyDescent="0.2">
      <c r="B25" s="59" t="s">
        <v>64</v>
      </c>
      <c r="C25" s="59" t="s">
        <v>68</v>
      </c>
    </row>
    <row r="26" spans="2:3" x14ac:dyDescent="0.2">
      <c r="B26" s="59" t="s">
        <v>65</v>
      </c>
      <c r="C26" s="59" t="s">
        <v>68</v>
      </c>
    </row>
    <row r="27" spans="2:3" x14ac:dyDescent="0.2">
      <c r="B27" s="59" t="s">
        <v>66</v>
      </c>
      <c r="C27" s="59" t="s">
        <v>68</v>
      </c>
    </row>
    <row r="28" spans="2:3" x14ac:dyDescent="0.2">
      <c r="B28" s="59" t="s">
        <v>67</v>
      </c>
      <c r="C28" s="59" t="s">
        <v>68</v>
      </c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ildSchedule">
                <anchor moveWithCells="1" sizeWithCells="1">
                  <from>
                    <xdr:col>10</xdr:col>
                    <xdr:colOff>0</xdr:colOff>
                    <xdr:row>2</xdr:row>
                    <xdr:rowOff>9525</xdr:rowOff>
                  </from>
                  <to>
                    <xdr:col>11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Kat A-1</vt:lpstr>
      <vt:lpstr>Kat A-2</vt:lpstr>
      <vt:lpstr>Kat B-Sie&amp;Er</vt:lpstr>
      <vt:lpstr>Kat C-Schüler</vt:lpstr>
      <vt:lpstr>Kat Firmen</vt:lpstr>
      <vt:lpstr>Template</vt:lpstr>
      <vt:lpstr>Konfiguration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Moczyk</dc:creator>
  <cp:lastModifiedBy>Simon</cp:lastModifiedBy>
  <cp:lastPrinted>2007-07-28T13:10:59Z</cp:lastPrinted>
  <dcterms:created xsi:type="dcterms:W3CDTF">2002-02-21T07:48:38Z</dcterms:created>
  <dcterms:modified xsi:type="dcterms:W3CDTF">2013-09-16T13:39:03Z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1602303656</vt:i4>
  </property>
  <property fmtid="{D5CDD505-2E9C-101B-9397-08002B2CF9AE}" pid="3" name="_NewReviewCycle">
    <vt:lpwstr/>
  </property>
  <property fmtid="{D5CDD505-2E9C-101B-9397-08002B2CF9AE}" pid="4" name="_EmailSubject">
    <vt:lpwstr>Turnierplan</vt:lpwstr>
  </property>
  <property fmtid="{D5CDD505-2E9C-101B-9397-08002B2CF9AE}" pid="5" name="_AuthorEmail">
    <vt:lpwstr>Fritz.Weyermann@swisscom.com</vt:lpwstr>
  </property>
  <property fmtid="{D5CDD505-2E9C-101B-9397-08002B2CF9AE}" pid="6" name="_AuthorEmailDisplayName">
    <vt:lpwstr>Weyermann Fritz, ITS-CPT-SE-SSE</vt:lpwstr>
  </property>
  <property fmtid="{D5CDD505-2E9C-101B-9397-08002B2CF9AE}" pid="7" name="_ReviewingToolsShownOnce">
    <vt:lpwstr/>
  </property>
</Properties>
</file>