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120" yWindow="105" windowWidth="11595" windowHeight="6150" firstSheet="4" activeTab="5"/>
  </bookViews>
  <sheets>
    <sheet name="Kat A-1" sheetId="1" r:id="rId1"/>
    <sheet name="Kat A-2" sheetId="4" r:id="rId2"/>
    <sheet name="Kat B-Sie&amp;Er" sheetId="3" r:id="rId3"/>
    <sheet name="Kat C-Schüler" sheetId="5" r:id="rId4"/>
    <sheet name="Kat Firmen" sheetId="6" r:id="rId5"/>
    <sheet name="Template" sheetId="89" r:id="rId6"/>
    <sheet name="Konfiguration" sheetId="7" r:id="rId7"/>
    <sheet name="Samstag" sheetId="90" r:id="rId8"/>
    <sheet name="Sonntag" sheetId="91" r:id="rId9"/>
  </sheets>
  <functionGroups builtInGroupCount="17"/>
  <calcPr calcId="145621"/>
  <fileRecoveryPr repairLoad="1"/>
</workbook>
</file>

<file path=xl/calcChain.xml><?xml version="1.0" encoding="utf-8"?>
<calcChain xmlns="http://schemas.openxmlformats.org/spreadsheetml/2006/main">
  <c r="J25" i="6" l="1"/>
  <c r="O25" i="6"/>
  <c r="AF25" i="6"/>
  <c r="BF25" i="6"/>
  <c r="BH25" i="6"/>
  <c r="BM25" i="6"/>
  <c r="BN25" i="6"/>
  <c r="BO25" i="6"/>
  <c r="BP25" i="6"/>
  <c r="BR25" i="6"/>
  <c r="BS25" i="6"/>
  <c r="J26" i="6"/>
  <c r="O26" i="6"/>
  <c r="AF26" i="6"/>
  <c r="BF26" i="6"/>
  <c r="BH26" i="6"/>
  <c r="BM26" i="6"/>
  <c r="BN26" i="6"/>
  <c r="BO26" i="6"/>
  <c r="BP26" i="6"/>
  <c r="BR26" i="6"/>
  <c r="BS26" i="6"/>
  <c r="J27" i="6"/>
  <c r="O27" i="6"/>
  <c r="AF27" i="6"/>
  <c r="BF27" i="6"/>
  <c r="BH27" i="6"/>
  <c r="BM27" i="6"/>
  <c r="BN27" i="6"/>
  <c r="BO27" i="6"/>
  <c r="BP27" i="6"/>
  <c r="BR27" i="6"/>
  <c r="BS27" i="6"/>
  <c r="J28" i="6"/>
  <c r="O28" i="6"/>
  <c r="AF28" i="6"/>
  <c r="BF28" i="6"/>
  <c r="BH28" i="6"/>
  <c r="BM28" i="6"/>
  <c r="BN28" i="6"/>
  <c r="BO28" i="6"/>
  <c r="BP28" i="6"/>
  <c r="BR28" i="6"/>
  <c r="BS28" i="6"/>
  <c r="J29" i="6"/>
  <c r="O29" i="6"/>
  <c r="AF29" i="6"/>
  <c r="BF29" i="6"/>
  <c r="BH29" i="6"/>
  <c r="BM29" i="6"/>
  <c r="BN29" i="6"/>
  <c r="BO29" i="6"/>
  <c r="BP29" i="6"/>
  <c r="BR29" i="6"/>
  <c r="BS29" i="6"/>
  <c r="J30" i="6"/>
  <c r="O30" i="6"/>
  <c r="AF30" i="6"/>
  <c r="BF30" i="6"/>
  <c r="BH30" i="6"/>
  <c r="J31" i="6"/>
  <c r="O31" i="6"/>
  <c r="AF31" i="6"/>
  <c r="BF31" i="6"/>
  <c r="BH31" i="6"/>
  <c r="J32" i="6"/>
  <c r="O32" i="6"/>
  <c r="AF32" i="6"/>
  <c r="BF32" i="6"/>
  <c r="BH32" i="6"/>
  <c r="J33" i="6"/>
  <c r="O33" i="6"/>
  <c r="AF33" i="6"/>
  <c r="BF33" i="6"/>
  <c r="BH33" i="6"/>
  <c r="J34" i="6"/>
  <c r="O34" i="6"/>
  <c r="AF34" i="6"/>
  <c r="BF34" i="6"/>
  <c r="BH34" i="6"/>
  <c r="K40" i="6"/>
  <c r="AH40" i="6"/>
  <c r="AK40" i="6"/>
  <c r="AN40" i="6"/>
  <c r="AQ40" i="6"/>
  <c r="AS40" i="6"/>
  <c r="K41" i="6"/>
  <c r="AH41" i="6"/>
  <c r="AK41" i="6"/>
  <c r="AN41" i="6"/>
  <c r="AQ41" i="6"/>
  <c r="AS41" i="6"/>
  <c r="K42" i="6"/>
  <c r="AH42" i="6"/>
  <c r="AK42" i="6"/>
  <c r="AN42" i="6"/>
  <c r="AQ42" i="6"/>
  <c r="AS42" i="6"/>
  <c r="K43" i="6"/>
  <c r="AH43" i="6"/>
  <c r="AK43" i="6"/>
  <c r="AN43" i="6"/>
  <c r="AQ43" i="6"/>
  <c r="AS43" i="6"/>
  <c r="K44" i="6"/>
  <c r="AH44" i="6"/>
  <c r="AK44" i="6"/>
  <c r="AN44" i="6"/>
  <c r="AQ44" i="6"/>
  <c r="AS44" i="6"/>
  <c r="J25" i="5"/>
  <c r="O25" i="5"/>
  <c r="AF25" i="5"/>
  <c r="BF25" i="5"/>
  <c r="BH25" i="5"/>
  <c r="BM25" i="5"/>
  <c r="BN25" i="5"/>
  <c r="BO25" i="5"/>
  <c r="BP25" i="5"/>
  <c r="BR25" i="5"/>
  <c r="BS25" i="5"/>
  <c r="J26" i="5"/>
  <c r="O26" i="5"/>
  <c r="AF26" i="5"/>
  <c r="BF26" i="5"/>
  <c r="BH26" i="5"/>
  <c r="BM26" i="5"/>
  <c r="BN26" i="5"/>
  <c r="BO26" i="5"/>
  <c r="BP26" i="5"/>
  <c r="BR26" i="5"/>
  <c r="BS26" i="5"/>
  <c r="J27" i="5"/>
  <c r="O27" i="5"/>
  <c r="AF27" i="5"/>
  <c r="BF27" i="5"/>
  <c r="BH27" i="5"/>
  <c r="BM27" i="5"/>
  <c r="BN27" i="5"/>
  <c r="BO27" i="5"/>
  <c r="BP27" i="5"/>
  <c r="BR27" i="5"/>
  <c r="BS27" i="5"/>
  <c r="J28" i="5"/>
  <c r="O28" i="5"/>
  <c r="AF28" i="5"/>
  <c r="BF28" i="5"/>
  <c r="BH28" i="5"/>
  <c r="BM28" i="5"/>
  <c r="BN28" i="5"/>
  <c r="BO28" i="5"/>
  <c r="BP28" i="5"/>
  <c r="BR28" i="5"/>
  <c r="BS28" i="5"/>
  <c r="J29" i="5"/>
  <c r="O29" i="5"/>
  <c r="AF29" i="5"/>
  <c r="BF29" i="5"/>
  <c r="BH29" i="5"/>
  <c r="BM29" i="5"/>
  <c r="BN29" i="5"/>
  <c r="BO29" i="5"/>
  <c r="BP29" i="5"/>
  <c r="BR29" i="5"/>
  <c r="BS29" i="5"/>
  <c r="J30" i="5"/>
  <c r="O30" i="5"/>
  <c r="AF30" i="5"/>
  <c r="BF30" i="5"/>
  <c r="BH30" i="5"/>
  <c r="J31" i="5"/>
  <c r="O31" i="5"/>
  <c r="AF31" i="5"/>
  <c r="BF31" i="5"/>
  <c r="BH31" i="5"/>
  <c r="J32" i="5"/>
  <c r="O32" i="5"/>
  <c r="AF32" i="5"/>
  <c r="BF32" i="5"/>
  <c r="BH32" i="5"/>
  <c r="J33" i="5"/>
  <c r="O33" i="5"/>
  <c r="AF33" i="5"/>
  <c r="BF33" i="5"/>
  <c r="BH33" i="5"/>
  <c r="J34" i="5"/>
  <c r="O34" i="5"/>
  <c r="AF34" i="5"/>
  <c r="BF34" i="5"/>
  <c r="BH34" i="5"/>
  <c r="K40" i="5"/>
  <c r="AH40" i="5"/>
  <c r="AK40" i="5"/>
  <c r="AN40" i="5"/>
  <c r="AQ40" i="5"/>
  <c r="AS40" i="5"/>
  <c r="K41" i="5"/>
  <c r="AH41" i="5"/>
  <c r="AK41" i="5"/>
  <c r="AN41" i="5"/>
  <c r="AQ41" i="5"/>
  <c r="AS41" i="5"/>
  <c r="K42" i="5"/>
  <c r="AH42" i="5"/>
  <c r="AK42" i="5"/>
  <c r="AN42" i="5"/>
  <c r="AQ42" i="5"/>
  <c r="AS42" i="5"/>
  <c r="K43" i="5"/>
  <c r="AH43" i="5"/>
  <c r="AK43" i="5"/>
  <c r="AN43" i="5"/>
  <c r="AQ43" i="5"/>
  <c r="AS43" i="5"/>
  <c r="K44" i="5"/>
  <c r="AH44" i="5"/>
  <c r="AK44" i="5"/>
  <c r="AN44" i="5"/>
  <c r="AQ44" i="5"/>
  <c r="AS44" i="5"/>
  <c r="J25" i="3"/>
  <c r="O25" i="3"/>
  <c r="AF25" i="3"/>
  <c r="BF25" i="3"/>
  <c r="BH25" i="3"/>
  <c r="BM25" i="3"/>
  <c r="BN25" i="3"/>
  <c r="BO25" i="3"/>
  <c r="BP25" i="3"/>
  <c r="BR25" i="3"/>
  <c r="BS25" i="3"/>
  <c r="J26" i="3"/>
  <c r="O26" i="3"/>
  <c r="AF26" i="3"/>
  <c r="BF26" i="3"/>
  <c r="BH26" i="3"/>
  <c r="BM26" i="3"/>
  <c r="BN26" i="3"/>
  <c r="BO26" i="3"/>
  <c r="BP26" i="3"/>
  <c r="BR26" i="3"/>
  <c r="BS26" i="3"/>
  <c r="J27" i="3"/>
  <c r="O27" i="3"/>
  <c r="AF27" i="3"/>
  <c r="BF27" i="3"/>
  <c r="BH27" i="3"/>
  <c r="BM27" i="3"/>
  <c r="BN27" i="3"/>
  <c r="BO27" i="3"/>
  <c r="BP27" i="3"/>
  <c r="BR27" i="3"/>
  <c r="BS27" i="3"/>
  <c r="J28" i="3"/>
  <c r="O28" i="3"/>
  <c r="AF28" i="3"/>
  <c r="BF28" i="3"/>
  <c r="BH28" i="3"/>
  <c r="BM28" i="3"/>
  <c r="BN28" i="3"/>
  <c r="BO28" i="3"/>
  <c r="BP28" i="3"/>
  <c r="BR28" i="3"/>
  <c r="BS28" i="3"/>
  <c r="J29" i="3"/>
  <c r="O29" i="3"/>
  <c r="AF29" i="3"/>
  <c r="BF29" i="3"/>
  <c r="BH29" i="3"/>
  <c r="BM29" i="3"/>
  <c r="BN29" i="3"/>
  <c r="BO29" i="3"/>
  <c r="BP29" i="3"/>
  <c r="BR29" i="3"/>
  <c r="BS29" i="3"/>
  <c r="J30" i="3"/>
  <c r="O30" i="3"/>
  <c r="AF30" i="3"/>
  <c r="BF30" i="3"/>
  <c r="BH30" i="3"/>
  <c r="J31" i="3"/>
  <c r="O31" i="3"/>
  <c r="AF31" i="3"/>
  <c r="BF31" i="3"/>
  <c r="BH31" i="3"/>
  <c r="J32" i="3"/>
  <c r="O32" i="3"/>
  <c r="AF32" i="3"/>
  <c r="BF32" i="3"/>
  <c r="BH32" i="3"/>
  <c r="J33" i="3"/>
  <c r="O33" i="3"/>
  <c r="AF33" i="3"/>
  <c r="BF33" i="3"/>
  <c r="BH33" i="3"/>
  <c r="J34" i="3"/>
  <c r="O34" i="3"/>
  <c r="AF34" i="3"/>
  <c r="BF34" i="3"/>
  <c r="BH34" i="3"/>
  <c r="K40" i="3"/>
  <c r="AH40" i="3"/>
  <c r="AK40" i="3"/>
  <c r="AN40" i="3"/>
  <c r="AQ40" i="3"/>
  <c r="AS40" i="3"/>
  <c r="K41" i="3"/>
  <c r="AH41" i="3"/>
  <c r="AK41" i="3"/>
  <c r="AN41" i="3"/>
  <c r="AQ41" i="3"/>
  <c r="AS41" i="3"/>
  <c r="K42" i="3"/>
  <c r="AH42" i="3"/>
  <c r="AK42" i="3"/>
  <c r="AN42" i="3"/>
  <c r="AQ42" i="3"/>
  <c r="AS42" i="3"/>
  <c r="K43" i="3"/>
  <c r="AH43" i="3"/>
  <c r="AK43" i="3"/>
  <c r="AN43" i="3"/>
  <c r="AQ43" i="3"/>
  <c r="AS43" i="3"/>
  <c r="K44" i="3"/>
  <c r="AH44" i="3"/>
  <c r="AK44" i="3"/>
  <c r="AN44" i="3"/>
  <c r="AQ44" i="3"/>
  <c r="AS44" i="3"/>
  <c r="J25" i="4"/>
  <c r="O25" i="4"/>
  <c r="AF25" i="4"/>
  <c r="BF25" i="4"/>
  <c r="BH25" i="4"/>
  <c r="BM25" i="4"/>
  <c r="BN25" i="4"/>
  <c r="BO25" i="4"/>
  <c r="BP25" i="4"/>
  <c r="BR25" i="4"/>
  <c r="BS25" i="4"/>
  <c r="J26" i="4"/>
  <c r="O26" i="4"/>
  <c r="AF26" i="4"/>
  <c r="BF26" i="4"/>
  <c r="BH26" i="4"/>
  <c r="BM26" i="4"/>
  <c r="BN26" i="4"/>
  <c r="BO26" i="4"/>
  <c r="BP26" i="4"/>
  <c r="BR26" i="4"/>
  <c r="BS26" i="4"/>
  <c r="J27" i="4"/>
  <c r="O27" i="4"/>
  <c r="AF27" i="4"/>
  <c r="BF27" i="4"/>
  <c r="BH27" i="4"/>
  <c r="BM27" i="4"/>
  <c r="BN27" i="4"/>
  <c r="BO27" i="4"/>
  <c r="BP27" i="4"/>
  <c r="BR27" i="4"/>
  <c r="BS27" i="4"/>
  <c r="J28" i="4"/>
  <c r="O28" i="4"/>
  <c r="AF28" i="4"/>
  <c r="BF28" i="4"/>
  <c r="BH28" i="4"/>
  <c r="BM28" i="4"/>
  <c r="BN28" i="4"/>
  <c r="BO28" i="4"/>
  <c r="BP28" i="4"/>
  <c r="BR28" i="4"/>
  <c r="BS28" i="4"/>
  <c r="J29" i="4"/>
  <c r="O29" i="4"/>
  <c r="AF29" i="4"/>
  <c r="BF29" i="4"/>
  <c r="BH29" i="4"/>
  <c r="BM29" i="4"/>
  <c r="BN29" i="4"/>
  <c r="BO29" i="4"/>
  <c r="BP29" i="4"/>
  <c r="BR29" i="4"/>
  <c r="BS29" i="4"/>
  <c r="J30" i="4"/>
  <c r="O30" i="4"/>
  <c r="AF30" i="4"/>
  <c r="BF30" i="4"/>
  <c r="BH30" i="4"/>
  <c r="J31" i="4"/>
  <c r="O31" i="4"/>
  <c r="AF31" i="4"/>
  <c r="BF31" i="4"/>
  <c r="BH31" i="4"/>
  <c r="J32" i="4"/>
  <c r="O32" i="4"/>
  <c r="AF32" i="4"/>
  <c r="BF32" i="4"/>
  <c r="BH32" i="4"/>
  <c r="J33" i="4"/>
  <c r="O33" i="4"/>
  <c r="AF33" i="4"/>
  <c r="BF33" i="4"/>
  <c r="BH33" i="4"/>
  <c r="J34" i="4"/>
  <c r="O34" i="4"/>
  <c r="AF34" i="4"/>
  <c r="BF34" i="4"/>
  <c r="BH34" i="4"/>
  <c r="K40" i="4"/>
  <c r="AH40" i="4"/>
  <c r="AK40" i="4"/>
  <c r="AN40" i="4"/>
  <c r="AQ40" i="4"/>
  <c r="AS40" i="4"/>
  <c r="K41" i="4"/>
  <c r="AH41" i="4"/>
  <c r="AK41" i="4"/>
  <c r="AN41" i="4"/>
  <c r="AQ41" i="4"/>
  <c r="AS41" i="4"/>
  <c r="K42" i="4"/>
  <c r="AH42" i="4"/>
  <c r="AK42" i="4"/>
  <c r="AN42" i="4"/>
  <c r="AQ42" i="4"/>
  <c r="AS42" i="4"/>
  <c r="K43" i="4"/>
  <c r="AH43" i="4"/>
  <c r="AK43" i="4"/>
  <c r="AN43" i="4"/>
  <c r="AQ43" i="4"/>
  <c r="AS43" i="4"/>
  <c r="K44" i="4"/>
  <c r="AH44" i="4"/>
  <c r="AK44" i="4"/>
  <c r="AN44" i="4"/>
  <c r="AQ44" i="4"/>
  <c r="AS44" i="4"/>
  <c r="J25" i="1"/>
  <c r="O25" i="1"/>
  <c r="AF25" i="1"/>
  <c r="BF25" i="1"/>
  <c r="BH25" i="1"/>
  <c r="BM25" i="1"/>
  <c r="BN25" i="1"/>
  <c r="BO25" i="1"/>
  <c r="BP25" i="1"/>
  <c r="BR25" i="1"/>
  <c r="BS25" i="1"/>
  <c r="J26" i="1"/>
  <c r="O26" i="1"/>
  <c r="AF26" i="1"/>
  <c r="BF26" i="1"/>
  <c r="BH26" i="1"/>
  <c r="BM26" i="1"/>
  <c r="BN26" i="1"/>
  <c r="BO26" i="1"/>
  <c r="BP26" i="1"/>
  <c r="BR26" i="1"/>
  <c r="BS26" i="1"/>
  <c r="J27" i="1"/>
  <c r="O27" i="1"/>
  <c r="AF27" i="1"/>
  <c r="BF27" i="1"/>
  <c r="BH27" i="1"/>
  <c r="BM27" i="1"/>
  <c r="BN27" i="1"/>
  <c r="BO27" i="1"/>
  <c r="BP27" i="1"/>
  <c r="BR27" i="1"/>
  <c r="BS27" i="1"/>
  <c r="J28" i="1"/>
  <c r="O28" i="1"/>
  <c r="AF28" i="1"/>
  <c r="BF28" i="1"/>
  <c r="BH28" i="1"/>
  <c r="BM28" i="1"/>
  <c r="BN28" i="1"/>
  <c r="BO28" i="1"/>
  <c r="BP28" i="1"/>
  <c r="BR28" i="1"/>
  <c r="BS28" i="1"/>
  <c r="J29" i="1"/>
  <c r="O29" i="1"/>
  <c r="AF29" i="1"/>
  <c r="BF29" i="1"/>
  <c r="BH29" i="1"/>
  <c r="BM29" i="1"/>
  <c r="BN29" i="1"/>
  <c r="BO29" i="1"/>
  <c r="BP29" i="1"/>
  <c r="BR29" i="1"/>
  <c r="BS29" i="1"/>
  <c r="J30" i="1"/>
  <c r="O30" i="1"/>
  <c r="AF30" i="1"/>
  <c r="BF30" i="1"/>
  <c r="BH30" i="1"/>
  <c r="J31" i="1"/>
  <c r="O31" i="1"/>
  <c r="AF31" i="1"/>
  <c r="BF31" i="1"/>
  <c r="BH31" i="1"/>
  <c r="J32" i="1"/>
  <c r="O32" i="1"/>
  <c r="AF32" i="1"/>
  <c r="BF32" i="1"/>
  <c r="BH32" i="1"/>
  <c r="J33" i="1"/>
  <c r="O33" i="1"/>
  <c r="AF33" i="1"/>
  <c r="BF33" i="1"/>
  <c r="BH33" i="1"/>
  <c r="J34" i="1"/>
  <c r="O34" i="1"/>
  <c r="AF34" i="1"/>
  <c r="BF34" i="1"/>
  <c r="BH34" i="1"/>
  <c r="K40" i="1"/>
  <c r="AH40" i="1"/>
  <c r="AK40" i="1"/>
  <c r="AN40" i="1"/>
  <c r="AQ40" i="1"/>
  <c r="AS40" i="1"/>
  <c r="K41" i="1"/>
  <c r="AH41" i="1"/>
  <c r="AK41" i="1"/>
  <c r="AN41" i="1"/>
  <c r="AQ41" i="1"/>
  <c r="AS41" i="1"/>
  <c r="K42" i="1"/>
  <c r="AH42" i="1"/>
  <c r="AK42" i="1"/>
  <c r="AN42" i="1"/>
  <c r="AQ42" i="1"/>
  <c r="AS42" i="1"/>
  <c r="K43" i="1"/>
  <c r="AH43" i="1"/>
  <c r="AK43" i="1"/>
  <c r="AN43" i="1"/>
  <c r="AQ43" i="1"/>
  <c r="AS43" i="1"/>
  <c r="K44" i="1"/>
  <c r="AH44" i="1"/>
  <c r="AK44" i="1"/>
  <c r="AN44" i="1"/>
  <c r="AQ44" i="1"/>
  <c r="AS44" i="1"/>
</calcChain>
</file>

<file path=xl/sharedStrings.xml><?xml version="1.0" encoding="utf-8"?>
<sst xmlns="http://schemas.openxmlformats.org/spreadsheetml/2006/main" count="611" uniqueCount="83">
  <si>
    <t>Am</t>
  </si>
  <si>
    <t>Samstag</t>
  </si>
  <si>
    <t>, den</t>
  </si>
  <si>
    <t>Beginn:</t>
  </si>
  <si>
    <t>Uhr</t>
  </si>
  <si>
    <t>Spielzeit:</t>
  </si>
  <si>
    <t>1x</t>
  </si>
  <si>
    <t>min</t>
  </si>
  <si>
    <t>Pause:</t>
  </si>
  <si>
    <t>I. Teilnehmende Mannschaften</t>
  </si>
  <si>
    <t>1.</t>
  </si>
  <si>
    <t>2.</t>
  </si>
  <si>
    <t>3.</t>
  </si>
  <si>
    <t>4.</t>
  </si>
  <si>
    <t>5.</t>
  </si>
  <si>
    <t>Nr.</t>
  </si>
  <si>
    <t>Beginn</t>
  </si>
  <si>
    <t>Spielpaarung</t>
  </si>
  <si>
    <t>:</t>
  </si>
  <si>
    <t>-</t>
  </si>
  <si>
    <t>Ergebnis</t>
  </si>
  <si>
    <t>Pkt.</t>
  </si>
  <si>
    <t>Tore</t>
  </si>
  <si>
    <t>Diff.</t>
  </si>
  <si>
    <t>Punkte</t>
  </si>
  <si>
    <t>Logo</t>
  </si>
  <si>
    <t>x</t>
  </si>
  <si>
    <t>Platz</t>
  </si>
  <si>
    <t>Sp.</t>
  </si>
  <si>
    <t>III. Abschlußtabelle</t>
  </si>
  <si>
    <t>Gruppeneinteilung</t>
  </si>
  <si>
    <t>Mannschaft</t>
  </si>
  <si>
    <t>II. Spielplan</t>
  </si>
  <si>
    <t>Oschwand</t>
  </si>
  <si>
    <t>Bethli</t>
  </si>
  <si>
    <t>Dream Team</t>
  </si>
  <si>
    <t>Blasi Hasi</t>
  </si>
  <si>
    <t>Mach di vom Acher</t>
  </si>
  <si>
    <t>Ämmitaler Chnörz</t>
  </si>
  <si>
    <t>18. Grümpelturnier</t>
  </si>
  <si>
    <t>Kategorie A Gruppe1</t>
  </si>
  <si>
    <t>Kategorie Firmen</t>
  </si>
  <si>
    <t>Novexler</t>
  </si>
  <si>
    <t>Strahm AG</t>
  </si>
  <si>
    <t>Kraft am Werk</t>
  </si>
  <si>
    <t>Cheminéeruetene</t>
  </si>
  <si>
    <t>Schreiner Kickers</t>
  </si>
  <si>
    <t>Blaba</t>
  </si>
  <si>
    <t>Blubu</t>
  </si>
  <si>
    <t>Blibli</t>
  </si>
  <si>
    <t>Bleble</t>
  </si>
  <si>
    <t>Bloblo</t>
  </si>
  <si>
    <t>Team</t>
  </si>
  <si>
    <t>Kategorie</t>
  </si>
  <si>
    <t>A-1</t>
  </si>
  <si>
    <t>A-2</t>
  </si>
  <si>
    <t>Heidi</t>
  </si>
  <si>
    <t>Hans</t>
  </si>
  <si>
    <t>Rudolf</t>
  </si>
  <si>
    <t>Roland</t>
  </si>
  <si>
    <t>Sie&amp;Er</t>
  </si>
  <si>
    <t>Rumpel</t>
  </si>
  <si>
    <t>Stilzchen</t>
  </si>
  <si>
    <t>Schüler</t>
  </si>
  <si>
    <t>Swisscom</t>
  </si>
  <si>
    <t>Cablecom</t>
  </si>
  <si>
    <t>Sunrise</t>
  </si>
  <si>
    <t>Orange</t>
  </si>
  <si>
    <t>Firmen</t>
  </si>
  <si>
    <t>TEAMS</t>
  </si>
  <si>
    <t>Spieltag</t>
  </si>
  <si>
    <t>KATEGORIEN</t>
  </si>
  <si>
    <t>Sonntag</t>
  </si>
  <si>
    <t>Samstag, Sonntag</t>
  </si>
  <si>
    <t>TAGE</t>
  </si>
  <si>
    <t>Tag</t>
  </si>
  <si>
    <t>Bis</t>
  </si>
  <si>
    <t>Start</t>
  </si>
  <si>
    <t>{startTime}</t>
  </si>
  <si>
    <t>{team2}</t>
  </si>
  <si>
    <t>{category}</t>
  </si>
  <si>
    <t>{num}</t>
  </si>
  <si>
    <t>{team1} vs {team2}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</si>
</sst>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h:mm;@"/>
    <numFmt numFmtId="165" formatCode="0_ ;[Red]\-0\ "/>
  </numFmts>
  <fonts count="27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u/>
      <sz val="10"/>
      <name val="Arial"/>
      <family val="2"/>
    </font>
    <font>
      <b/>
      <sz val="12"/>
      <name val="Arial"/>
      <family val="2"/>
    </font>
    <font>
      <sz val="22"/>
      <name val="Comic Sans MS"/>
      <family val="4"/>
    </font>
    <font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8"/>
      <name val="Comic Sans MS"/>
      <family val="4"/>
    </font>
    <font>
      <sz val="10"/>
      <name val="Arial"/>
      <family val="2"/>
    </font>
    <font>
      <sz val="10"/>
      <color indexed="9"/>
      <name val="Arial"/>
      <family val="2"/>
    </font>
    <font>
      <sz val="18"/>
      <color indexed="9"/>
      <name val="Comic Sans MS"/>
      <family val="4"/>
    </font>
    <font>
      <sz val="12"/>
      <color indexed="9"/>
      <name val="Arial"/>
      <family val="2"/>
    </font>
    <font>
      <sz val="10"/>
      <color indexed="9"/>
      <name val="Arial"/>
      <family val="2"/>
    </font>
    <font>
      <b/>
      <sz val="9"/>
      <color indexed="9"/>
      <name val="Arial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sz val="8"/>
      <color indexed="9"/>
      <name val="Arial"/>
      <family val="2"/>
    </font>
    <font>
      <b/>
      <sz val="8"/>
      <color indexed="9"/>
      <name val="Arial"/>
      <family val="2"/>
    </font>
    <font>
      <b/>
      <sz val="9"/>
      <color indexed="9"/>
      <name val="Arial"/>
      <family val="2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C8C8C8"/>
        <bgColor indexed="64"/>
      </patternFill>
    </fill>
  </fills>
  <borders count="45">
    <border>
      <left/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56">
    <xf numFmtId="0" fontId="0" fillId="0" borderId="0" xfId="0"/>
    <xf numFmtId="0" fontId="5" fillId="0" borderId="0" xfId="0" applyFont="1"/>
    <xf numFmtId="0" fontId="8" fillId="0" borderId="0" xfId="0" applyFont="1"/>
    <xf numFmtId="0" fontId="8" fillId="0" borderId="0" xfId="0" applyFont="1" applyAlignment="1">
      <alignment horizontal="right"/>
    </xf>
    <xf numFmtId="0" fontId="0" fillId="0" borderId="0" xfId="0" applyAlignment="1">
      <alignment vertical="center"/>
    </xf>
    <xf numFmtId="0" fontId="10" fillId="0" borderId="0" xfId="0" applyFont="1" applyAlignment="1">
      <alignment vertical="center"/>
    </xf>
    <xf numFmtId="0" fontId="1" fillId="0" borderId="0" xfId="0" applyFont="1" applyAlignment="1">
      <alignment horizontal="right"/>
    </xf>
    <xf numFmtId="0" fontId="1" fillId="0" borderId="0" xfId="0" applyFont="1"/>
    <xf numFmtId="0" fontId="3" fillId="0" borderId="1" xfId="0" applyFont="1" applyFill="1" applyBorder="1" applyAlignment="1">
      <alignment horizontal="center" vertical="center"/>
    </xf>
    <xf numFmtId="0" fontId="11" fillId="0" borderId="0" xfId="0" applyFont="1"/>
    <xf numFmtId="0" fontId="11" fillId="0" borderId="0" xfId="0" applyFont="1" applyAlignment="1">
      <alignment vertical="center"/>
    </xf>
    <xf numFmtId="0" fontId="14" fillId="0" borderId="0" xfId="0" applyFont="1"/>
    <xf numFmtId="0" fontId="3" fillId="0" borderId="2" xfId="0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12" fillId="0" borderId="0" xfId="0" applyFont="1"/>
    <xf numFmtId="0" fontId="13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5" fillId="0" borderId="0" xfId="0" applyFont="1"/>
    <xf numFmtId="0" fontId="6" fillId="0" borderId="3" xfId="0" applyFont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14" fillId="0" borderId="7" xfId="0" applyFont="1" applyBorder="1"/>
    <xf numFmtId="0" fontId="14" fillId="0" borderId="0" xfId="0" applyFont="1" applyBorder="1"/>
    <xf numFmtId="0" fontId="14" fillId="0" borderId="8" xfId="0" applyFont="1" applyBorder="1"/>
    <xf numFmtId="0" fontId="8" fillId="0" borderId="7" xfId="0" applyFont="1" applyBorder="1"/>
    <xf numFmtId="0" fontId="8" fillId="0" borderId="0" xfId="0" applyFont="1" applyBorder="1"/>
    <xf numFmtId="0" fontId="8" fillId="0" borderId="8" xfId="0" applyFont="1" applyBorder="1"/>
    <xf numFmtId="0" fontId="8" fillId="0" borderId="9" xfId="0" applyFont="1" applyBorder="1"/>
    <xf numFmtId="0" fontId="8" fillId="0" borderId="3" xfId="0" applyFont="1" applyBorder="1"/>
    <xf numFmtId="0" fontId="8" fillId="0" borderId="10" xfId="0" applyFont="1" applyBorder="1"/>
    <xf numFmtId="0" fontId="16" fillId="0" borderId="0" xfId="0" applyFont="1"/>
    <xf numFmtId="0" fontId="17" fillId="0" borderId="0" xfId="0" applyFont="1"/>
    <xf numFmtId="0" fontId="18" fillId="0" borderId="0" xfId="0" applyFont="1"/>
    <xf numFmtId="0" fontId="16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20" fillId="0" borderId="0" xfId="0" applyFont="1"/>
    <xf numFmtId="0" fontId="21" fillId="0" borderId="0" xfId="0" applyFont="1" applyAlignment="1">
      <alignment vertical="center"/>
    </xf>
    <xf numFmtId="0" fontId="6" fillId="0" borderId="0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16" fillId="0" borderId="0" xfId="0" applyFont="1" applyFill="1" applyBorder="1"/>
    <xf numFmtId="0" fontId="16" fillId="0" borderId="0" xfId="0" applyFont="1" applyFill="1"/>
    <xf numFmtId="0" fontId="17" fillId="0" borderId="0" xfId="0" applyFont="1" applyFill="1" applyBorder="1"/>
    <xf numFmtId="0" fontId="17" fillId="0" borderId="0" xfId="0" applyFont="1" applyFill="1"/>
    <xf numFmtId="0" fontId="18" fillId="0" borderId="0" xfId="0" applyFont="1" applyFill="1" applyBorder="1"/>
    <xf numFmtId="0" fontId="18" fillId="0" borderId="0" xfId="0" applyFont="1" applyFill="1"/>
    <xf numFmtId="0" fontId="16" fillId="0" borderId="0" xfId="0" applyFont="1" applyFill="1" applyBorder="1" applyAlignment="1">
      <alignment vertical="center"/>
    </xf>
    <xf numFmtId="0" fontId="22" fillId="0" borderId="0" xfId="0" applyFont="1" applyFill="1" applyBorder="1" applyAlignment="1" applyProtection="1">
      <alignment horizontal="centerContinuous"/>
      <protection hidden="1"/>
    </xf>
    <xf numFmtId="0" fontId="16" fillId="0" borderId="0" xfId="0" applyFont="1" applyFill="1" applyBorder="1" applyAlignment="1" applyProtection="1">
      <alignment horizontal="centerContinuous"/>
      <protection hidden="1"/>
    </xf>
    <xf numFmtId="0" fontId="16" fillId="0" borderId="0" xfId="0" applyFont="1" applyFill="1" applyAlignment="1">
      <alignment vertical="center"/>
    </xf>
    <xf numFmtId="0" fontId="16" fillId="0" borderId="0" xfId="0" applyFont="1" applyFill="1" applyBorder="1" applyAlignment="1" applyProtection="1">
      <alignment horizontal="center" vertical="center"/>
      <protection hidden="1"/>
    </xf>
    <xf numFmtId="0" fontId="23" fillId="0" borderId="0" xfId="0" applyFont="1" applyFill="1" applyBorder="1" applyAlignment="1">
      <alignment horizontal="left" vertical="center" readingOrder="2"/>
    </xf>
    <xf numFmtId="0" fontId="23" fillId="0" borderId="0" xfId="0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horizontal="left" vertical="center"/>
    </xf>
    <xf numFmtId="0" fontId="23" fillId="0" borderId="0" xfId="0" applyFont="1" applyFill="1" applyBorder="1" applyAlignment="1">
      <alignment vertical="center"/>
    </xf>
    <xf numFmtId="0" fontId="25" fillId="0" borderId="0" xfId="0" applyFont="1" applyFill="1" applyBorder="1"/>
    <xf numFmtId="0" fontId="25" fillId="0" borderId="0" xfId="0" applyFont="1" applyFill="1"/>
    <xf numFmtId="0" fontId="1" fillId="0" borderId="0" xfId="0" applyFont="1" applyAlignment="1">
      <alignment vertical="center"/>
    </xf>
    <xf numFmtId="0" fontId="10" fillId="0" borderId="0" xfId="0" applyFont="1"/>
    <xf numFmtId="0" fontId="3" fillId="0" borderId="0" xfId="0" applyFont="1"/>
    <xf numFmtId="20" fontId="0" fillId="0" borderId="0" xfId="0" applyNumberFormat="1"/>
    <xf numFmtId="0" fontId="3" fillId="3" borderId="27" xfId="0" applyFont="1" applyFill="1" applyBorder="1"/>
    <xf numFmtId="0" fontId="3" fillId="3" borderId="28" xfId="0" applyFont="1" applyFill="1" applyBorder="1"/>
    <xf numFmtId="0" fontId="3" fillId="3" borderId="41" xfId="0" applyFont="1" applyFill="1" applyBorder="1"/>
    <xf numFmtId="0" fontId="1" fillId="0" borderId="43" xfId="0" applyFont="1" applyBorder="1"/>
    <xf numFmtId="20" fontId="1" fillId="0" borderId="42" xfId="0" applyNumberFormat="1" applyFont="1" applyBorder="1"/>
    <xf numFmtId="0" fontId="1" fillId="0" borderId="42" xfId="0" applyFont="1" applyBorder="1"/>
    <xf numFmtId="0" fontId="1" fillId="0" borderId="44" xfId="0" applyFont="1" applyBorder="1"/>
    <xf numFmtId="0" fontId="1" fillId="0" borderId="0" xfId="0" applyFont="1" applyBorder="1"/>
    <xf numFmtId="20" fontId="1" fillId="0" borderId="0" xfId="0" applyNumberFormat="1" applyFont="1" applyBorder="1"/>
    <xf numFmtId="0" fontId="10" fillId="0" borderId="15" xfId="0" applyFont="1" applyFill="1" applyBorder="1" applyAlignment="1">
      <alignment horizontal="left" vertical="center" shrinkToFit="1"/>
    </xf>
    <xf numFmtId="0" fontId="10" fillId="0" borderId="2" xfId="0" applyFont="1" applyFill="1" applyBorder="1" applyAlignment="1">
      <alignment horizontal="left" vertical="center" shrinkToFit="1"/>
    </xf>
    <xf numFmtId="0" fontId="10" fillId="0" borderId="16" xfId="0" applyFont="1" applyFill="1" applyBorder="1" applyAlignment="1">
      <alignment horizontal="left" vertical="center" shrinkToFit="1"/>
    </xf>
    <xf numFmtId="20" fontId="10" fillId="0" borderId="26" xfId="0" applyNumberFormat="1" applyFont="1" applyFill="1" applyBorder="1" applyAlignment="1">
      <alignment horizontal="center" vertical="center"/>
    </xf>
    <xf numFmtId="20" fontId="10" fillId="0" borderId="15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4" fillId="0" borderId="0" xfId="0" applyFont="1" applyAlignment="1">
      <alignment horizontal="center"/>
    </xf>
    <xf numFmtId="0" fontId="8" fillId="0" borderId="0" xfId="0" applyFont="1" applyAlignment="1">
      <alignment horizontal="center" vertical="center"/>
    </xf>
    <xf numFmtId="0" fontId="4" fillId="2" borderId="32" xfId="0" applyFont="1" applyFill="1" applyBorder="1" applyAlignment="1">
      <alignment horizontal="center"/>
    </xf>
    <xf numFmtId="0" fontId="4" fillId="2" borderId="11" xfId="0" applyFont="1" applyFill="1" applyBorder="1" applyAlignment="1">
      <alignment horizontal="center"/>
    </xf>
    <xf numFmtId="0" fontId="4" fillId="2" borderId="31" xfId="0" applyFont="1" applyFill="1" applyBorder="1" applyAlignment="1">
      <alignment horizontal="center"/>
    </xf>
    <xf numFmtId="45" fontId="6" fillId="0" borderId="3" xfId="0" applyNumberFormat="1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3" fillId="2" borderId="29" xfId="0" applyFont="1" applyFill="1" applyBorder="1" applyAlignment="1">
      <alignment horizontal="center"/>
    </xf>
    <xf numFmtId="0" fontId="3" fillId="2" borderId="3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4" fontId="6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20" fontId="10" fillId="0" borderId="23" xfId="0" applyNumberFormat="1" applyFont="1" applyFill="1" applyBorder="1" applyAlignment="1">
      <alignment horizontal="center" vertical="center"/>
    </xf>
    <xf numFmtId="20" fontId="10" fillId="0" borderId="24" xfId="0" applyNumberFormat="1" applyFont="1" applyFill="1" applyBorder="1" applyAlignment="1">
      <alignment horizontal="center" vertical="center"/>
    </xf>
    <xf numFmtId="0" fontId="10" fillId="0" borderId="18" xfId="0" applyFont="1" applyFill="1" applyBorder="1" applyAlignment="1">
      <alignment horizontal="left" vertical="center" shrinkToFit="1"/>
    </xf>
    <xf numFmtId="0" fontId="10" fillId="0" borderId="1" xfId="0" applyFont="1" applyFill="1" applyBorder="1" applyAlignment="1">
      <alignment horizontal="left" vertical="center" shrinkToFit="1"/>
    </xf>
    <xf numFmtId="0" fontId="10" fillId="0" borderId="25" xfId="0" applyFont="1" applyFill="1" applyBorder="1" applyAlignment="1">
      <alignment horizontal="center" vertical="center"/>
    </xf>
    <xf numFmtId="0" fontId="10" fillId="0" borderId="26" xfId="0" applyFont="1" applyFill="1" applyBorder="1" applyAlignment="1">
      <alignment horizontal="center" vertical="center"/>
    </xf>
    <xf numFmtId="0" fontId="11" fillId="2" borderId="27" xfId="0" applyFont="1" applyFill="1" applyBorder="1" applyAlignment="1">
      <alignment horizontal="center" vertical="center"/>
    </xf>
    <xf numFmtId="0" fontId="11" fillId="2" borderId="28" xfId="0" applyFont="1" applyFill="1" applyBorder="1" applyAlignment="1">
      <alignment horizontal="center" vertical="center"/>
    </xf>
    <xf numFmtId="0" fontId="11" fillId="2" borderId="29" xfId="0" applyFont="1" applyFill="1" applyBorder="1" applyAlignment="1">
      <alignment horizontal="center" vertical="center"/>
    </xf>
    <xf numFmtId="0" fontId="11" fillId="2" borderId="11" xfId="0" applyFont="1" applyFill="1" applyBorder="1" applyAlignment="1">
      <alignment horizontal="center" vertical="center"/>
    </xf>
    <xf numFmtId="0" fontId="11" fillId="2" borderId="31" xfId="0" applyFont="1" applyFill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29" xfId="0" applyFont="1" applyBorder="1" applyAlignment="1">
      <alignment horizontal="center" vertical="center"/>
    </xf>
    <xf numFmtId="0" fontId="8" fillId="0" borderId="31" xfId="0" applyFont="1" applyBorder="1" applyAlignment="1">
      <alignment horizontal="center" vertical="center"/>
    </xf>
    <xf numFmtId="165" fontId="8" fillId="0" borderId="11" xfId="0" applyNumberFormat="1" applyFont="1" applyBorder="1" applyAlignment="1">
      <alignment horizontal="center" vertical="center"/>
    </xf>
    <xf numFmtId="165" fontId="8" fillId="0" borderId="30" xfId="0" applyNumberFormat="1" applyFont="1" applyBorder="1" applyAlignment="1">
      <alignment horizontal="center" vertical="center"/>
    </xf>
    <xf numFmtId="0" fontId="8" fillId="0" borderId="32" xfId="0" applyFont="1" applyBorder="1" applyAlignment="1">
      <alignment horizontal="center" vertical="center"/>
    </xf>
    <xf numFmtId="0" fontId="8" fillId="0" borderId="0" xfId="0" applyFont="1" applyBorder="1" applyAlignment="1">
      <alignment horizontal="left" vertical="center" shrinkToFit="1"/>
    </xf>
    <xf numFmtId="0" fontId="8" fillId="0" borderId="7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11" xfId="0" applyFont="1" applyBorder="1" applyAlignment="1">
      <alignment horizontal="left" vertical="center" shrinkToFit="1"/>
    </xf>
    <xf numFmtId="165" fontId="8" fillId="0" borderId="0" xfId="0" applyNumberFormat="1" applyFont="1" applyBorder="1" applyAlignment="1">
      <alignment horizontal="center" vertical="center"/>
    </xf>
    <xf numFmtId="165" fontId="8" fillId="0" borderId="12" xfId="0" applyNumberFormat="1" applyFont="1" applyBorder="1" applyAlignment="1">
      <alignment horizontal="center" vertical="center"/>
    </xf>
    <xf numFmtId="0" fontId="8" fillId="0" borderId="33" xfId="0" applyFont="1" applyBorder="1" applyAlignment="1">
      <alignment horizontal="center" vertical="center"/>
    </xf>
    <xf numFmtId="0" fontId="3" fillId="0" borderId="18" xfId="0" applyFont="1" applyFill="1" applyBorder="1" applyAlignment="1">
      <alignment horizontal="center" vertical="center"/>
    </xf>
    <xf numFmtId="0" fontId="3" fillId="0" borderId="19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10" fillId="0" borderId="21" xfId="0" applyFont="1" applyFill="1" applyBorder="1" applyAlignment="1">
      <alignment horizontal="center" vertical="center"/>
    </xf>
    <xf numFmtId="0" fontId="11" fillId="2" borderId="30" xfId="0" applyFont="1" applyFill="1" applyBorder="1" applyAlignment="1">
      <alignment horizontal="center" vertical="center"/>
    </xf>
    <xf numFmtId="0" fontId="11" fillId="2" borderId="39" xfId="0" applyFont="1" applyFill="1" applyBorder="1" applyAlignment="1">
      <alignment horizontal="center" vertical="center"/>
    </xf>
    <xf numFmtId="0" fontId="11" fillId="2" borderId="36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22" xfId="0" applyFont="1" applyFill="1" applyBorder="1" applyAlignment="1">
      <alignment horizontal="center" vertical="center"/>
    </xf>
    <xf numFmtId="0" fontId="10" fillId="0" borderId="22" xfId="0" applyFont="1" applyFill="1" applyBorder="1" applyAlignment="1">
      <alignment horizontal="left" vertical="center" shrinkToFit="1"/>
    </xf>
    <xf numFmtId="0" fontId="3" fillId="0" borderId="17" xfId="0" applyFont="1" applyFill="1" applyBorder="1" applyAlignment="1">
      <alignment horizontal="center" vertical="center"/>
    </xf>
    <xf numFmtId="0" fontId="3" fillId="0" borderId="16" xfId="0" applyFont="1" applyFill="1" applyBorder="1" applyAlignment="1">
      <alignment horizontal="center" vertical="center"/>
    </xf>
    <xf numFmtId="0" fontId="10" fillId="0" borderId="20" xfId="0" applyFont="1" applyFill="1" applyBorder="1" applyAlignment="1">
      <alignment horizontal="center" vertical="center"/>
    </xf>
    <xf numFmtId="164" fontId="10" fillId="0" borderId="26" xfId="0" applyNumberFormat="1" applyFont="1" applyFill="1" applyBorder="1" applyAlignment="1">
      <alignment horizontal="center" vertical="center"/>
    </xf>
    <xf numFmtId="164" fontId="10" fillId="0" borderId="15" xfId="0" applyNumberFormat="1" applyFont="1" applyFill="1" applyBorder="1" applyAlignment="1">
      <alignment horizontal="center" vertical="center"/>
    </xf>
    <xf numFmtId="20" fontId="6" fillId="0" borderId="3" xfId="0" applyNumberFormat="1" applyFont="1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10" fillId="0" borderId="14" xfId="0" applyFont="1" applyBorder="1" applyAlignment="1">
      <alignment horizontal="center"/>
    </xf>
    <xf numFmtId="0" fontId="9" fillId="0" borderId="34" xfId="0" applyFont="1" applyBorder="1" applyAlignment="1">
      <alignment horizontal="center"/>
    </xf>
    <xf numFmtId="0" fontId="9" fillId="0" borderId="35" xfId="0" applyFont="1" applyBorder="1" applyAlignment="1">
      <alignment horizontal="center"/>
    </xf>
    <xf numFmtId="0" fontId="9" fillId="0" borderId="36" xfId="0" applyFont="1" applyBorder="1" applyAlignment="1">
      <alignment horizontal="left" shrinkToFit="1"/>
    </xf>
    <xf numFmtId="0" fontId="9" fillId="0" borderId="37" xfId="0" applyFont="1" applyBorder="1" applyAlignment="1">
      <alignment horizontal="left" shrinkToFit="1"/>
    </xf>
    <xf numFmtId="0" fontId="9" fillId="0" borderId="0" xfId="0" applyFont="1" applyBorder="1" applyAlignment="1">
      <alignment horizontal="left" shrinkToFit="1"/>
    </xf>
    <xf numFmtId="0" fontId="9" fillId="0" borderId="8" xfId="0" applyFont="1" applyBorder="1" applyAlignment="1">
      <alignment horizontal="left" shrinkToFit="1"/>
    </xf>
    <xf numFmtId="0" fontId="9" fillId="0" borderId="35" xfId="0" applyFont="1" applyBorder="1" applyAlignment="1">
      <alignment horizontal="left" shrinkToFit="1"/>
    </xf>
    <xf numFmtId="0" fontId="9" fillId="0" borderId="38" xfId="0" applyFont="1" applyBorder="1" applyAlignment="1">
      <alignment horizontal="left" shrinkToFit="1"/>
    </xf>
    <xf numFmtId="0" fontId="9" fillId="0" borderId="39" xfId="0" applyFont="1" applyBorder="1" applyAlignment="1">
      <alignment horizontal="center"/>
    </xf>
    <xf numFmtId="0" fontId="9" fillId="0" borderId="36" xfId="0" applyFont="1" applyBorder="1" applyAlignment="1">
      <alignment horizontal="center"/>
    </xf>
    <xf numFmtId="0" fontId="9" fillId="0" borderId="33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10" fillId="0" borderId="24" xfId="0" applyFont="1" applyBorder="1" applyAlignment="1">
      <alignment horizontal="center"/>
    </xf>
    <xf numFmtId="0" fontId="10" fillId="0" borderId="40" xfId="0" applyFont="1" applyBorder="1" applyAlignment="1">
      <alignment horizontal="center"/>
    </xf>
    <xf numFmtId="0" fontId="11" fillId="2" borderId="29" xfId="0" applyFont="1" applyFill="1" applyBorder="1" applyAlignment="1">
      <alignment vertical="center"/>
    </xf>
    <xf numFmtId="0" fontId="11" fillId="2" borderId="30" xfId="0" applyFont="1" applyFill="1" applyBorder="1" applyAlignment="1">
      <alignment vertical="center"/>
    </xf>
    <xf numFmtId="0" fontId="8" fillId="0" borderId="36" xfId="0" applyFont="1" applyBorder="1" applyAlignment="1">
      <alignment horizontal="left" shrinkToFit="1"/>
    </xf>
    <xf numFmtId="0" fontId="8" fillId="0" borderId="0" xfId="0" applyFont="1" applyBorder="1" applyAlignment="1">
      <alignment horizontal="left" shrinkToFit="1"/>
    </xf>
    <xf numFmtId="0" fontId="8" fillId="0" borderId="35" xfId="0" applyFont="1" applyBorder="1" applyAlignment="1">
      <alignment horizontal="left" shrinkToFit="1"/>
    </xf>
    <xf numFmtId="0" fontId="3" fillId="3" borderId="28" xfId="0" applyFont="1" applyFill="1" applyBorder="1" applyAlignment="1">
      <alignment horizontal="center"/>
    </xf>
    <xf numFmtId="0" fontId="3" fillId="0" borderId="0" xfId="0" applyFont="1" applyAlignment="1">
      <alignment horizontal="center"/>
    </xf>
  </cellXfs>
  <cellStyles count="1">
    <cellStyle name="Standard" xfId="0" builtinId="0"/>
  </cellStyles>
  <dxfs count="2">
    <dxf>
      <fill>
        <patternFill>
          <bgColor theme="0" tint="-0.14996795556505021"/>
        </patternFill>
      </fill>
      <border>
        <bottom style="thick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sportstabelle" pivot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4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5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76200</xdr:colOff>
      <xdr:row>38</xdr:row>
      <xdr:rowOff>38100</xdr:rowOff>
    </xdr:from>
    <xdr:to>
      <xdr:col>55</xdr:col>
      <xdr:colOff>47625</xdr:colOff>
      <xdr:row>39</xdr:row>
      <xdr:rowOff>219075</xdr:rowOff>
    </xdr:to>
    <xdr:pic>
      <xdr:nvPicPr>
        <xdr:cNvPr id="1101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48300" y="6972300"/>
          <a:ext cx="885825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42</xdr:col>
      <xdr:colOff>9525</xdr:colOff>
      <xdr:row>1</xdr:row>
      <xdr:rowOff>9525</xdr:rowOff>
    </xdr:from>
    <xdr:to>
      <xdr:col>55</xdr:col>
      <xdr:colOff>0</xdr:colOff>
      <xdr:row>8</xdr:row>
      <xdr:rowOff>0</xdr:rowOff>
    </xdr:to>
    <xdr:pic>
      <xdr:nvPicPr>
        <xdr:cNvPr id="1102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10125" y="104775"/>
          <a:ext cx="1476375" cy="1485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76200</xdr:colOff>
      <xdr:row>38</xdr:row>
      <xdr:rowOff>38100</xdr:rowOff>
    </xdr:from>
    <xdr:to>
      <xdr:col>55</xdr:col>
      <xdr:colOff>47625</xdr:colOff>
      <xdr:row>39</xdr:row>
      <xdr:rowOff>219075</xdr:rowOff>
    </xdr:to>
    <xdr:pic>
      <xdr:nvPicPr>
        <xdr:cNvPr id="6217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48300" y="6972300"/>
          <a:ext cx="885825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42</xdr:col>
      <xdr:colOff>9525</xdr:colOff>
      <xdr:row>1</xdr:row>
      <xdr:rowOff>9525</xdr:rowOff>
    </xdr:from>
    <xdr:to>
      <xdr:col>55</xdr:col>
      <xdr:colOff>0</xdr:colOff>
      <xdr:row>8</xdr:row>
      <xdr:rowOff>0</xdr:rowOff>
    </xdr:to>
    <xdr:pic>
      <xdr:nvPicPr>
        <xdr:cNvPr id="621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10125" y="104775"/>
          <a:ext cx="1476375" cy="1485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76200</xdr:colOff>
      <xdr:row>38</xdr:row>
      <xdr:rowOff>38100</xdr:rowOff>
    </xdr:from>
    <xdr:to>
      <xdr:col>55</xdr:col>
      <xdr:colOff>47625</xdr:colOff>
      <xdr:row>39</xdr:row>
      <xdr:rowOff>219075</xdr:rowOff>
    </xdr:to>
    <xdr:pic>
      <xdr:nvPicPr>
        <xdr:cNvPr id="5193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48300" y="6972300"/>
          <a:ext cx="885825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42</xdr:col>
      <xdr:colOff>9525</xdr:colOff>
      <xdr:row>1</xdr:row>
      <xdr:rowOff>9525</xdr:rowOff>
    </xdr:from>
    <xdr:to>
      <xdr:col>55</xdr:col>
      <xdr:colOff>0</xdr:colOff>
      <xdr:row>8</xdr:row>
      <xdr:rowOff>0</xdr:rowOff>
    </xdr:to>
    <xdr:pic>
      <xdr:nvPicPr>
        <xdr:cNvPr id="5194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10125" y="104775"/>
          <a:ext cx="1476375" cy="1485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76200</xdr:colOff>
      <xdr:row>38</xdr:row>
      <xdr:rowOff>38100</xdr:rowOff>
    </xdr:from>
    <xdr:to>
      <xdr:col>55</xdr:col>
      <xdr:colOff>47625</xdr:colOff>
      <xdr:row>39</xdr:row>
      <xdr:rowOff>219075</xdr:rowOff>
    </xdr:to>
    <xdr:pic>
      <xdr:nvPicPr>
        <xdr:cNvPr id="7241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48300" y="6972300"/>
          <a:ext cx="885825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42</xdr:col>
      <xdr:colOff>9525</xdr:colOff>
      <xdr:row>1</xdr:row>
      <xdr:rowOff>9525</xdr:rowOff>
    </xdr:from>
    <xdr:to>
      <xdr:col>55</xdr:col>
      <xdr:colOff>0</xdr:colOff>
      <xdr:row>8</xdr:row>
      <xdr:rowOff>0</xdr:rowOff>
    </xdr:to>
    <xdr:pic>
      <xdr:nvPicPr>
        <xdr:cNvPr id="724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10125" y="104775"/>
          <a:ext cx="1476375" cy="1485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76200</xdr:colOff>
      <xdr:row>38</xdr:row>
      <xdr:rowOff>38100</xdr:rowOff>
    </xdr:from>
    <xdr:to>
      <xdr:col>55</xdr:col>
      <xdr:colOff>47625</xdr:colOff>
      <xdr:row>39</xdr:row>
      <xdr:rowOff>219075</xdr:rowOff>
    </xdr:to>
    <xdr:pic>
      <xdr:nvPicPr>
        <xdr:cNvPr id="8265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48300" y="6972300"/>
          <a:ext cx="885825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42</xdr:col>
      <xdr:colOff>9525</xdr:colOff>
      <xdr:row>1</xdr:row>
      <xdr:rowOff>9525</xdr:rowOff>
    </xdr:from>
    <xdr:to>
      <xdr:col>55</xdr:col>
      <xdr:colOff>0</xdr:colOff>
      <xdr:row>8</xdr:row>
      <xdr:rowOff>0</xdr:rowOff>
    </xdr:to>
    <xdr:pic>
      <xdr:nvPicPr>
        <xdr:cNvPr id="826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10125" y="104775"/>
          <a:ext cx="1476375" cy="1485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9525</xdr:rowOff>
        </xdr:from>
        <xdr:to>
          <xdr:col>11</xdr:col>
          <xdr:colOff>476250</xdr:colOff>
          <xdr:row>3</xdr:row>
          <xdr:rowOff>85725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Los!</a:t>
              </a:r>
              <a:endParaRPr lang="de-CH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DL44"/>
  <sheetViews>
    <sheetView zoomScale="112" zoomScaleNormal="70" workbookViewId="0">
      <selection activeCell="BW35" sqref="J20:BW35"/>
    </sheetView>
  </sheetViews>
  <sheetFormatPr baseColWidth="10" defaultColWidth="1.7109375" defaultRowHeight="12.75" x14ac:dyDescent="0.2"/>
  <cols>
    <col min="1" max="55" width="1.7109375" customWidth="1"/>
    <col min="56" max="56" width="1.7109375" style="17" customWidth="1"/>
    <col min="57" max="57" width="1.7109375" style="40" customWidth="1"/>
    <col min="58" max="58" width="2.85546875" style="40" customWidth="1"/>
    <col min="59" max="59" width="2.140625" style="40" customWidth="1"/>
    <col min="60" max="60" width="2.85546875" style="40" customWidth="1"/>
    <col min="61" max="64" width="1.7109375" style="40" customWidth="1"/>
    <col min="65" max="65" width="3.42578125" style="40" bestFit="1" customWidth="1"/>
    <col min="66" max="66" width="2.28515625" style="40" customWidth="1"/>
    <col min="67" max="68" width="2.140625" style="40" bestFit="1" customWidth="1"/>
    <col min="69" max="69" width="2.28515625" style="40" customWidth="1"/>
    <col min="70" max="70" width="2.5703125" style="40" customWidth="1"/>
    <col min="71" max="71" width="2.140625" style="40" bestFit="1" customWidth="1"/>
    <col min="72" max="73" width="1.7109375" style="40" customWidth="1"/>
    <col min="74" max="80" width="1.7109375" style="41" customWidth="1"/>
    <col min="81" max="90" width="1.7109375" style="31" customWidth="1"/>
    <col min="91" max="98" width="1.7109375" style="17" customWidth="1"/>
    <col min="99" max="115" width="1.7109375" style="31" customWidth="1"/>
    <col min="116" max="116" width="1.7109375" style="17" customWidth="1"/>
  </cols>
  <sheetData>
    <row r="1" spans="1:116" ht="7.5" customHeight="1" x14ac:dyDescent="0.2">
      <c r="BD1" s="7"/>
      <c r="CM1" s="7"/>
      <c r="CN1" s="7"/>
      <c r="CO1" s="7"/>
      <c r="CP1" s="7"/>
      <c r="CQ1" s="7"/>
      <c r="CR1" s="7"/>
      <c r="CS1" s="7"/>
      <c r="CT1" s="7"/>
      <c r="DL1" s="7"/>
    </row>
    <row r="2" spans="1:116" ht="33" x14ac:dyDescent="0.2">
      <c r="A2" s="76" t="s">
        <v>38</v>
      </c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19"/>
      <c r="AR2" s="20"/>
      <c r="AS2" s="20"/>
      <c r="AT2" s="20"/>
      <c r="AU2" s="20"/>
      <c r="AV2" s="20"/>
      <c r="AW2" s="20"/>
      <c r="AX2" s="20"/>
      <c r="AY2" s="20"/>
      <c r="AZ2" s="20"/>
      <c r="BA2" s="20"/>
      <c r="BB2" s="20"/>
      <c r="BC2" s="21"/>
      <c r="BD2" s="7"/>
      <c r="CM2" s="7"/>
      <c r="CN2" s="7"/>
      <c r="CO2" s="7"/>
      <c r="CP2" s="7"/>
      <c r="CQ2" s="7"/>
      <c r="CR2" s="7"/>
      <c r="CS2" s="7"/>
      <c r="CT2" s="7"/>
      <c r="DL2" s="7"/>
    </row>
    <row r="3" spans="1:116" s="11" customFormat="1" ht="27" x14ac:dyDescent="0.5">
      <c r="A3" s="77" t="s">
        <v>39</v>
      </c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7"/>
      <c r="AB3" s="77"/>
      <c r="AC3" s="77"/>
      <c r="AD3" s="77"/>
      <c r="AE3" s="77"/>
      <c r="AF3" s="77"/>
      <c r="AG3" s="77"/>
      <c r="AH3" s="77"/>
      <c r="AI3" s="77"/>
      <c r="AJ3" s="77"/>
      <c r="AK3" s="77"/>
      <c r="AL3" s="77"/>
      <c r="AM3" s="77"/>
      <c r="AN3" s="77"/>
      <c r="AO3" s="77"/>
      <c r="AP3" s="77"/>
      <c r="AQ3" s="22"/>
      <c r="AR3" s="23"/>
      <c r="AS3" s="23"/>
      <c r="AT3" s="23" t="s">
        <v>25</v>
      </c>
      <c r="AU3" s="23"/>
      <c r="AV3" s="23"/>
      <c r="AW3" s="23"/>
      <c r="AX3" s="23"/>
      <c r="AY3" s="23"/>
      <c r="AZ3" s="23"/>
      <c r="BA3" s="23"/>
      <c r="BB3" s="23"/>
      <c r="BC3" s="24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3"/>
      <c r="BW3" s="43"/>
      <c r="BX3" s="43"/>
      <c r="BY3" s="43"/>
      <c r="BZ3" s="43"/>
      <c r="CA3" s="43"/>
      <c r="CB3" s="43"/>
      <c r="CC3" s="32"/>
      <c r="CD3" s="32"/>
      <c r="CE3" s="32"/>
      <c r="CF3" s="32"/>
      <c r="CG3" s="32"/>
      <c r="CH3" s="32"/>
      <c r="CI3" s="32"/>
      <c r="CJ3" s="32"/>
      <c r="CK3" s="32"/>
      <c r="CL3" s="32"/>
      <c r="CU3" s="32"/>
      <c r="CV3" s="32"/>
      <c r="CW3" s="32"/>
      <c r="CX3" s="32"/>
      <c r="CY3" s="32"/>
      <c r="CZ3" s="32"/>
      <c r="DA3" s="32"/>
      <c r="DB3" s="32"/>
      <c r="DC3" s="32"/>
      <c r="DD3" s="32"/>
      <c r="DE3" s="32"/>
      <c r="DF3" s="32"/>
      <c r="DG3" s="32"/>
      <c r="DH3" s="32"/>
      <c r="DI3" s="32"/>
      <c r="DJ3" s="32"/>
      <c r="DK3" s="32"/>
    </row>
    <row r="4" spans="1:116" s="2" customFormat="1" ht="15" x14ac:dyDescent="0.2">
      <c r="A4" s="78"/>
      <c r="B4" s="78"/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  <c r="X4" s="78"/>
      <c r="Y4" s="78"/>
      <c r="Z4" s="78"/>
      <c r="AA4" s="78"/>
      <c r="AB4" s="78"/>
      <c r="AC4" s="78"/>
      <c r="AD4" s="78"/>
      <c r="AE4" s="78"/>
      <c r="AF4" s="78"/>
      <c r="AG4" s="78"/>
      <c r="AH4" s="78"/>
      <c r="AI4" s="78"/>
      <c r="AJ4" s="78"/>
      <c r="AK4" s="78"/>
      <c r="AL4" s="78"/>
      <c r="AM4" s="78"/>
      <c r="AN4" s="78"/>
      <c r="AO4" s="78"/>
      <c r="AP4" s="78"/>
      <c r="AQ4" s="25"/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7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  <c r="BU4" s="44"/>
      <c r="BV4" s="45"/>
      <c r="BW4" s="45"/>
      <c r="BX4" s="45"/>
      <c r="BY4" s="45"/>
      <c r="BZ4" s="45"/>
      <c r="CA4" s="45"/>
      <c r="CB4" s="45"/>
      <c r="CC4" s="33"/>
      <c r="CD4" s="33"/>
      <c r="CE4" s="33"/>
      <c r="CF4" s="33"/>
      <c r="CG4" s="33"/>
      <c r="CH4" s="33"/>
      <c r="CI4" s="33"/>
      <c r="CJ4" s="33"/>
      <c r="CK4" s="33"/>
      <c r="CL4" s="33"/>
      <c r="CU4" s="33"/>
      <c r="CV4" s="33"/>
      <c r="CW4" s="33"/>
      <c r="CX4" s="33"/>
      <c r="CY4" s="33"/>
      <c r="CZ4" s="33"/>
      <c r="DA4" s="33"/>
      <c r="DB4" s="33"/>
      <c r="DC4" s="33"/>
      <c r="DD4" s="33"/>
      <c r="DE4" s="33"/>
      <c r="DF4" s="33"/>
      <c r="DG4" s="33"/>
      <c r="DH4" s="33"/>
      <c r="DI4" s="33"/>
      <c r="DJ4" s="33"/>
      <c r="DK4" s="33"/>
    </row>
    <row r="5" spans="1:116" s="2" customFormat="1" ht="6" customHeight="1" x14ac:dyDescent="0.2">
      <c r="AQ5" s="25"/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7"/>
      <c r="BE5" s="44"/>
      <c r="BF5" s="44"/>
      <c r="BG5" s="44"/>
      <c r="BH5" s="44"/>
      <c r="BI5" s="44"/>
      <c r="BJ5" s="44"/>
      <c r="BK5" s="44"/>
      <c r="BL5" s="44"/>
      <c r="BM5" s="44"/>
      <c r="BN5" s="44"/>
      <c r="BO5" s="44"/>
      <c r="BP5" s="44"/>
      <c r="BQ5" s="44"/>
      <c r="BR5" s="44"/>
      <c r="BS5" s="44"/>
      <c r="BT5" s="44"/>
      <c r="BU5" s="44"/>
      <c r="BV5" s="45"/>
      <c r="BW5" s="45"/>
      <c r="BX5" s="45"/>
      <c r="BY5" s="45"/>
      <c r="BZ5" s="45"/>
      <c r="CA5" s="45"/>
      <c r="CB5" s="45"/>
      <c r="CC5" s="33"/>
      <c r="CD5" s="33"/>
      <c r="CE5" s="33"/>
      <c r="CF5" s="33"/>
      <c r="CG5" s="33"/>
      <c r="CH5" s="33"/>
      <c r="CI5" s="33"/>
      <c r="CJ5" s="33"/>
      <c r="CK5" s="33"/>
      <c r="CL5" s="33"/>
      <c r="CU5" s="33"/>
      <c r="CV5" s="33"/>
      <c r="CW5" s="33"/>
      <c r="CX5" s="33"/>
      <c r="CY5" s="33"/>
      <c r="CZ5" s="33"/>
      <c r="DA5" s="33"/>
      <c r="DB5" s="33"/>
      <c r="DC5" s="33"/>
      <c r="DD5" s="33"/>
      <c r="DE5" s="33"/>
      <c r="DF5" s="33"/>
      <c r="DG5" s="33"/>
      <c r="DH5" s="33"/>
      <c r="DI5" s="33"/>
      <c r="DJ5" s="33"/>
      <c r="DK5" s="33"/>
    </row>
    <row r="6" spans="1:116" s="2" customFormat="1" ht="15.75" x14ac:dyDescent="0.25">
      <c r="L6" s="3" t="s">
        <v>0</v>
      </c>
      <c r="M6" s="86" t="s">
        <v>1</v>
      </c>
      <c r="N6" s="86"/>
      <c r="O6" s="86"/>
      <c r="P6" s="86"/>
      <c r="Q6" s="86"/>
      <c r="R6" s="86"/>
      <c r="S6" s="86"/>
      <c r="T6" s="86"/>
      <c r="U6" s="2" t="s">
        <v>2</v>
      </c>
      <c r="Y6" s="87">
        <v>39312</v>
      </c>
      <c r="Z6" s="87"/>
      <c r="AA6" s="87"/>
      <c r="AB6" s="87"/>
      <c r="AC6" s="87"/>
      <c r="AD6" s="87"/>
      <c r="AE6" s="87"/>
      <c r="AF6" s="87"/>
      <c r="AQ6" s="25"/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7"/>
      <c r="BE6" s="44"/>
      <c r="BF6" s="44"/>
      <c r="BG6" s="44"/>
      <c r="BH6" s="44"/>
      <c r="BI6" s="44"/>
      <c r="BJ6" s="44"/>
      <c r="BK6" s="44"/>
      <c r="BL6" s="44"/>
      <c r="BM6" s="44"/>
      <c r="BN6" s="44"/>
      <c r="BO6" s="44"/>
      <c r="BP6" s="44"/>
      <c r="BQ6" s="44"/>
      <c r="BR6" s="44"/>
      <c r="BS6" s="44"/>
      <c r="BT6" s="44"/>
      <c r="BU6" s="44"/>
      <c r="BV6" s="45"/>
      <c r="BW6" s="45"/>
      <c r="BX6" s="45"/>
      <c r="BY6" s="45"/>
      <c r="BZ6" s="45"/>
      <c r="CA6" s="45"/>
      <c r="CB6" s="45"/>
      <c r="CC6" s="33"/>
      <c r="CD6" s="33"/>
      <c r="CE6" s="33"/>
      <c r="CF6" s="33"/>
      <c r="CG6" s="33"/>
      <c r="CH6" s="33"/>
      <c r="CI6" s="33"/>
      <c r="CJ6" s="33"/>
      <c r="CK6" s="33"/>
      <c r="CL6" s="33"/>
      <c r="CU6" s="33"/>
      <c r="CV6" s="33"/>
      <c r="CW6" s="33"/>
      <c r="CX6" s="33"/>
      <c r="CY6" s="33"/>
      <c r="CZ6" s="33"/>
      <c r="DA6" s="33"/>
      <c r="DB6" s="33"/>
      <c r="DC6" s="33"/>
      <c r="DD6" s="33"/>
      <c r="DE6" s="33"/>
      <c r="DF6" s="33"/>
      <c r="DG6" s="33"/>
      <c r="DH6" s="33"/>
      <c r="DI6" s="33"/>
      <c r="DJ6" s="33"/>
      <c r="DK6" s="33"/>
    </row>
    <row r="7" spans="1:116" s="2" customFormat="1" ht="6" customHeight="1" x14ac:dyDescent="0.2">
      <c r="AQ7" s="25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7"/>
      <c r="BE7" s="44"/>
      <c r="BF7" s="44"/>
      <c r="BG7" s="44"/>
      <c r="BH7" s="44"/>
      <c r="BI7" s="44"/>
      <c r="BJ7" s="44"/>
      <c r="BK7" s="44"/>
      <c r="BL7" s="44"/>
      <c r="BM7" s="44"/>
      <c r="BN7" s="44"/>
      <c r="BO7" s="44"/>
      <c r="BP7" s="44"/>
      <c r="BQ7" s="44"/>
      <c r="BR7" s="44"/>
      <c r="BS7" s="44"/>
      <c r="BT7" s="44"/>
      <c r="BU7" s="44"/>
      <c r="BV7" s="45"/>
      <c r="BW7" s="45"/>
      <c r="BX7" s="45"/>
      <c r="BY7" s="45"/>
      <c r="BZ7" s="45"/>
      <c r="CA7" s="45"/>
      <c r="CB7" s="45"/>
      <c r="CC7" s="33"/>
      <c r="CD7" s="33"/>
      <c r="CE7" s="33"/>
      <c r="CF7" s="33"/>
      <c r="CG7" s="33"/>
      <c r="CH7" s="33"/>
      <c r="CI7" s="33"/>
      <c r="CJ7" s="33"/>
      <c r="CK7" s="33"/>
      <c r="CL7" s="33"/>
      <c r="CU7" s="33"/>
      <c r="CV7" s="33"/>
      <c r="CW7" s="33"/>
      <c r="CX7" s="33"/>
      <c r="CY7" s="33"/>
      <c r="CZ7" s="33"/>
      <c r="DA7" s="33"/>
      <c r="DB7" s="33"/>
      <c r="DC7" s="33"/>
      <c r="DD7" s="33"/>
      <c r="DE7" s="33"/>
      <c r="DF7" s="33"/>
      <c r="DG7" s="33"/>
      <c r="DH7" s="33"/>
      <c r="DI7" s="33"/>
      <c r="DJ7" s="33"/>
      <c r="DK7" s="33"/>
    </row>
    <row r="8" spans="1:116" s="2" customFormat="1" ht="15" x14ac:dyDescent="0.2">
      <c r="B8" s="88" t="s">
        <v>40</v>
      </c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Q8" s="28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30"/>
      <c r="BE8" s="44"/>
      <c r="BF8" s="44"/>
      <c r="BG8" s="44"/>
      <c r="BH8" s="44"/>
      <c r="BI8" s="44"/>
      <c r="BJ8" s="44"/>
      <c r="BK8" s="44"/>
      <c r="BL8" s="44"/>
      <c r="BM8" s="44"/>
      <c r="BN8" s="44"/>
      <c r="BO8" s="44"/>
      <c r="BP8" s="44"/>
      <c r="BQ8" s="44"/>
      <c r="BR8" s="44"/>
      <c r="BS8" s="44"/>
      <c r="BT8" s="44"/>
      <c r="BU8" s="44"/>
      <c r="BV8" s="45"/>
      <c r="BW8" s="45"/>
      <c r="BX8" s="45"/>
      <c r="BY8" s="45"/>
      <c r="BZ8" s="45"/>
      <c r="CA8" s="45"/>
      <c r="CB8" s="45"/>
      <c r="CC8" s="33"/>
      <c r="CD8" s="33"/>
      <c r="CE8" s="33"/>
      <c r="CF8" s="33"/>
      <c r="CG8" s="33"/>
      <c r="CH8" s="33"/>
      <c r="CI8" s="33"/>
      <c r="CJ8" s="33"/>
      <c r="CK8" s="33"/>
      <c r="CL8" s="33"/>
      <c r="CU8" s="33"/>
      <c r="CV8" s="33"/>
      <c r="CW8" s="33"/>
      <c r="CX8" s="33"/>
      <c r="CY8" s="33"/>
      <c r="CZ8" s="33"/>
      <c r="DA8" s="33"/>
      <c r="DB8" s="33"/>
      <c r="DC8" s="33"/>
      <c r="DD8" s="33"/>
      <c r="DE8" s="33"/>
      <c r="DF8" s="33"/>
      <c r="DG8" s="33"/>
      <c r="DH8" s="33"/>
      <c r="DI8" s="33"/>
      <c r="DJ8" s="33"/>
      <c r="DK8" s="33"/>
    </row>
    <row r="9" spans="1:116" s="2" customFormat="1" ht="6" customHeight="1" x14ac:dyDescent="0.2">
      <c r="BE9" s="44"/>
      <c r="BF9" s="44"/>
      <c r="BG9" s="44"/>
      <c r="BH9" s="44"/>
      <c r="BI9" s="44"/>
      <c r="BJ9" s="44"/>
      <c r="BK9" s="44"/>
      <c r="BL9" s="44"/>
      <c r="BM9" s="44"/>
      <c r="BN9" s="44"/>
      <c r="BO9" s="44"/>
      <c r="BP9" s="44"/>
      <c r="BQ9" s="44"/>
      <c r="BR9" s="44"/>
      <c r="BS9" s="44"/>
      <c r="BT9" s="44"/>
      <c r="BU9" s="44"/>
      <c r="BV9" s="45"/>
      <c r="BW9" s="45"/>
      <c r="BX9" s="45"/>
      <c r="BY9" s="45"/>
      <c r="BZ9" s="45"/>
      <c r="CA9" s="45"/>
      <c r="CB9" s="45"/>
      <c r="CC9" s="33"/>
      <c r="CD9" s="33"/>
      <c r="CE9" s="33"/>
      <c r="CF9" s="33"/>
      <c r="CG9" s="33"/>
      <c r="CH9" s="33"/>
      <c r="CI9" s="33"/>
      <c r="CJ9" s="33"/>
      <c r="CK9" s="33"/>
      <c r="CL9" s="33"/>
      <c r="CU9" s="33"/>
      <c r="CV9" s="33"/>
      <c r="CW9" s="33"/>
      <c r="CX9" s="33"/>
      <c r="CY9" s="33"/>
      <c r="CZ9" s="33"/>
      <c r="DA9" s="33"/>
      <c r="DB9" s="33"/>
      <c r="DC9" s="33"/>
      <c r="DD9" s="33"/>
      <c r="DE9" s="33"/>
      <c r="DF9" s="33"/>
      <c r="DG9" s="33"/>
      <c r="DH9" s="33"/>
      <c r="DI9" s="33"/>
      <c r="DJ9" s="33"/>
      <c r="DK9" s="33"/>
    </row>
    <row r="10" spans="1:116" s="2" customFormat="1" ht="15.75" x14ac:dyDescent="0.25">
      <c r="G10" s="6" t="s">
        <v>3</v>
      </c>
      <c r="H10" s="130">
        <v>0.625</v>
      </c>
      <c r="I10" s="130"/>
      <c r="J10" s="130"/>
      <c r="K10" s="130"/>
      <c r="L10" s="130"/>
      <c r="M10" s="7" t="s">
        <v>4</v>
      </c>
      <c r="T10" s="6" t="s">
        <v>5</v>
      </c>
      <c r="U10" s="83">
        <v>2</v>
      </c>
      <c r="V10" s="83" t="s">
        <v>6</v>
      </c>
      <c r="W10" s="18" t="s">
        <v>26</v>
      </c>
      <c r="X10" s="82">
        <v>5.208333333333333E-3</v>
      </c>
      <c r="Y10" s="82"/>
      <c r="Z10" s="82"/>
      <c r="AA10" s="82"/>
      <c r="AB10" s="82"/>
      <c r="AC10" s="7" t="s">
        <v>7</v>
      </c>
      <c r="AK10" s="6" t="s">
        <v>8</v>
      </c>
      <c r="AL10" s="82">
        <v>0</v>
      </c>
      <c r="AM10" s="82"/>
      <c r="AN10" s="82"/>
      <c r="AO10" s="82"/>
      <c r="AP10" s="82"/>
      <c r="AQ10" s="7" t="s">
        <v>7</v>
      </c>
      <c r="BE10" s="44"/>
      <c r="BF10" s="44"/>
      <c r="BG10" s="44"/>
      <c r="BH10" s="44"/>
      <c r="BI10" s="44"/>
      <c r="BJ10" s="44"/>
      <c r="BK10" s="44"/>
      <c r="BL10" s="44"/>
      <c r="BM10" s="44"/>
      <c r="BN10" s="44"/>
      <c r="BO10" s="44"/>
      <c r="BP10" s="44"/>
      <c r="BQ10" s="44"/>
      <c r="BR10" s="44"/>
      <c r="BS10" s="44"/>
      <c r="BT10" s="44"/>
      <c r="BU10" s="44"/>
      <c r="BV10" s="45"/>
      <c r="BW10" s="45"/>
      <c r="BX10" s="45"/>
      <c r="BY10" s="45"/>
      <c r="BZ10" s="45"/>
      <c r="CA10" s="45"/>
      <c r="CB10" s="45"/>
      <c r="CC10" s="33"/>
      <c r="CD10" s="33"/>
      <c r="CE10" s="33"/>
      <c r="CF10" s="33"/>
      <c r="CG10" s="33"/>
      <c r="CH10" s="33"/>
      <c r="CI10" s="33"/>
      <c r="CJ10" s="33"/>
      <c r="CK10" s="33"/>
      <c r="CL10" s="33"/>
      <c r="CU10" s="33"/>
      <c r="CV10" s="33"/>
      <c r="CW10" s="33"/>
      <c r="CX10" s="33"/>
      <c r="CY10" s="33"/>
      <c r="CZ10" s="33"/>
      <c r="DA10" s="33"/>
      <c r="DB10" s="33"/>
      <c r="DC10" s="33"/>
      <c r="DD10" s="33"/>
      <c r="DE10" s="33"/>
      <c r="DF10" s="33"/>
      <c r="DG10" s="33"/>
      <c r="DH10" s="33"/>
      <c r="DI10" s="33"/>
      <c r="DJ10" s="33"/>
      <c r="DK10" s="33"/>
    </row>
    <row r="11" spans="1:116" ht="9" customHeight="1" x14ac:dyDescent="0.2">
      <c r="BD11" s="14"/>
      <c r="CM11" s="14"/>
      <c r="CN11" s="14"/>
      <c r="CO11" s="14"/>
      <c r="CP11" s="14"/>
      <c r="CQ11" s="14"/>
      <c r="CR11" s="14"/>
      <c r="CS11" s="14"/>
      <c r="CT11" s="14"/>
      <c r="DL11" s="14"/>
    </row>
    <row r="12" spans="1:116" ht="6" customHeight="1" x14ac:dyDescent="0.2">
      <c r="BD12" s="14"/>
      <c r="CM12" s="14"/>
      <c r="CN12" s="14"/>
      <c r="CO12" s="14"/>
      <c r="CP12" s="14"/>
      <c r="CQ12" s="14"/>
      <c r="CR12" s="14"/>
      <c r="CS12" s="14"/>
      <c r="CT12" s="14"/>
      <c r="DL12" s="14"/>
    </row>
    <row r="13" spans="1:116" x14ac:dyDescent="0.2">
      <c r="B13" s="1" t="s">
        <v>9</v>
      </c>
      <c r="BD13" s="14"/>
      <c r="CM13" s="14"/>
      <c r="CN13" s="14"/>
      <c r="CO13" s="14"/>
      <c r="CP13" s="14"/>
      <c r="CQ13" s="14"/>
      <c r="CR13" s="14"/>
      <c r="CS13" s="14"/>
      <c r="CT13" s="14"/>
      <c r="DL13" s="14"/>
    </row>
    <row r="14" spans="1:116" ht="6" customHeight="1" thickBot="1" x14ac:dyDescent="0.25">
      <c r="BD14" s="14"/>
      <c r="CM14" s="14"/>
      <c r="CN14" s="14"/>
      <c r="CO14" s="14"/>
      <c r="CP14" s="14"/>
      <c r="CQ14" s="14"/>
      <c r="CR14" s="14"/>
      <c r="CS14" s="14"/>
      <c r="CT14" s="14"/>
      <c r="DL14" s="14"/>
    </row>
    <row r="15" spans="1:116" ht="16.5" thickBot="1" x14ac:dyDescent="0.3">
      <c r="N15" s="79" t="s">
        <v>30</v>
      </c>
      <c r="O15" s="80"/>
      <c r="P15" s="80"/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  <c r="AD15" s="80"/>
      <c r="AE15" s="80"/>
      <c r="AF15" s="80"/>
      <c r="AG15" s="80"/>
      <c r="AH15" s="80"/>
      <c r="AI15" s="80"/>
      <c r="AJ15" s="81"/>
      <c r="AK15" s="84"/>
      <c r="AL15" s="85"/>
      <c r="BD15" s="14"/>
      <c r="CM15" s="14"/>
      <c r="CN15" s="14"/>
      <c r="CO15" s="14"/>
      <c r="CP15" s="14"/>
      <c r="CQ15" s="14"/>
      <c r="CR15" s="14"/>
      <c r="CS15" s="14"/>
      <c r="CT15" s="14"/>
      <c r="DL15" s="14"/>
    </row>
    <row r="16" spans="1:116" ht="15" x14ac:dyDescent="0.2">
      <c r="N16" s="143" t="s">
        <v>10</v>
      </c>
      <c r="O16" s="144"/>
      <c r="P16" s="137" t="s">
        <v>33</v>
      </c>
      <c r="Q16" s="137"/>
      <c r="R16" s="137"/>
      <c r="S16" s="137"/>
      <c r="T16" s="137"/>
      <c r="U16" s="137"/>
      <c r="V16" s="137"/>
      <c r="W16" s="137"/>
      <c r="X16" s="137"/>
      <c r="Y16" s="137"/>
      <c r="Z16" s="137"/>
      <c r="AA16" s="137"/>
      <c r="AB16" s="137"/>
      <c r="AC16" s="137"/>
      <c r="AD16" s="137"/>
      <c r="AE16" s="137"/>
      <c r="AF16" s="137"/>
      <c r="AG16" s="137"/>
      <c r="AH16" s="137"/>
      <c r="AI16" s="137"/>
      <c r="AJ16" s="138"/>
      <c r="AK16" s="133"/>
      <c r="AL16" s="134"/>
      <c r="BD16" s="14"/>
      <c r="CM16" s="14"/>
      <c r="CN16" s="14"/>
      <c r="CO16" s="14"/>
      <c r="CP16" s="14"/>
      <c r="CQ16" s="14"/>
      <c r="CR16" s="14"/>
      <c r="CS16" s="14"/>
      <c r="CT16" s="14"/>
      <c r="DL16" s="14"/>
    </row>
    <row r="17" spans="2:116" ht="15" x14ac:dyDescent="0.2">
      <c r="N17" s="145" t="s">
        <v>11</v>
      </c>
      <c r="O17" s="146"/>
      <c r="P17" s="139" t="s">
        <v>34</v>
      </c>
      <c r="Q17" s="139"/>
      <c r="R17" s="139"/>
      <c r="S17" s="139"/>
      <c r="T17" s="139"/>
      <c r="U17" s="139"/>
      <c r="V17" s="139"/>
      <c r="W17" s="139"/>
      <c r="X17" s="139"/>
      <c r="Y17" s="139"/>
      <c r="Z17" s="139"/>
      <c r="AA17" s="139"/>
      <c r="AB17" s="139"/>
      <c r="AC17" s="139"/>
      <c r="AD17" s="139"/>
      <c r="AE17" s="139"/>
      <c r="AF17" s="139"/>
      <c r="AG17" s="139"/>
      <c r="AH17" s="139"/>
      <c r="AI17" s="139"/>
      <c r="AJ17" s="140"/>
      <c r="AK17" s="131"/>
      <c r="AL17" s="132"/>
      <c r="BD17" s="14"/>
      <c r="CM17" s="14"/>
      <c r="CN17" s="14"/>
      <c r="CO17" s="14"/>
      <c r="CP17" s="14"/>
      <c r="CQ17" s="14"/>
      <c r="CR17" s="14"/>
      <c r="CS17" s="14"/>
      <c r="CT17" s="14"/>
      <c r="DL17" s="14"/>
    </row>
    <row r="18" spans="2:116" ht="15" x14ac:dyDescent="0.2">
      <c r="N18" s="145" t="s">
        <v>12</v>
      </c>
      <c r="O18" s="146"/>
      <c r="P18" s="139" t="s">
        <v>35</v>
      </c>
      <c r="Q18" s="139"/>
      <c r="R18" s="139"/>
      <c r="S18" s="139"/>
      <c r="T18" s="139"/>
      <c r="U18" s="139"/>
      <c r="V18" s="139"/>
      <c r="W18" s="139"/>
      <c r="X18" s="139"/>
      <c r="Y18" s="139"/>
      <c r="Z18" s="139"/>
      <c r="AA18" s="139"/>
      <c r="AB18" s="139"/>
      <c r="AC18" s="139"/>
      <c r="AD18" s="139"/>
      <c r="AE18" s="139"/>
      <c r="AF18" s="139"/>
      <c r="AG18" s="139"/>
      <c r="AH18" s="139"/>
      <c r="AI18" s="139"/>
      <c r="AJ18" s="140"/>
      <c r="AK18" s="131"/>
      <c r="AL18" s="132"/>
      <c r="BD18" s="14"/>
      <c r="CM18" s="14"/>
      <c r="CN18" s="14"/>
      <c r="CO18" s="14"/>
      <c r="CP18" s="14"/>
      <c r="CQ18" s="14"/>
      <c r="CR18" s="14"/>
      <c r="CS18" s="14"/>
      <c r="CT18" s="14"/>
      <c r="DL18" s="14"/>
    </row>
    <row r="19" spans="2:116" ht="15" x14ac:dyDescent="0.2">
      <c r="N19" s="145" t="s">
        <v>13</v>
      </c>
      <c r="O19" s="146"/>
      <c r="P19" s="139" t="s">
        <v>36</v>
      </c>
      <c r="Q19" s="139"/>
      <c r="R19" s="139"/>
      <c r="S19" s="139"/>
      <c r="T19" s="139"/>
      <c r="U19" s="139"/>
      <c r="V19" s="139"/>
      <c r="W19" s="139"/>
      <c r="X19" s="139"/>
      <c r="Y19" s="139"/>
      <c r="Z19" s="139"/>
      <c r="AA19" s="139"/>
      <c r="AB19" s="139"/>
      <c r="AC19" s="139"/>
      <c r="AD19" s="139"/>
      <c r="AE19" s="139"/>
      <c r="AF19" s="139"/>
      <c r="AG19" s="139"/>
      <c r="AH19" s="139"/>
      <c r="AI19" s="139"/>
      <c r="AJ19" s="140"/>
      <c r="AK19" s="131"/>
      <c r="AL19" s="132"/>
      <c r="BD19" s="14"/>
      <c r="CM19" s="14"/>
      <c r="CN19" s="14"/>
      <c r="CO19" s="14"/>
      <c r="CP19" s="14"/>
      <c r="CQ19" s="14"/>
      <c r="CR19" s="14"/>
      <c r="CS19" s="14"/>
      <c r="CT19" s="14"/>
      <c r="DL19" s="14"/>
    </row>
    <row r="20" spans="2:116" ht="15.75" thickBot="1" x14ac:dyDescent="0.25">
      <c r="N20" s="135" t="s">
        <v>14</v>
      </c>
      <c r="O20" s="136"/>
      <c r="P20" s="141" t="s">
        <v>37</v>
      </c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41"/>
      <c r="AC20" s="141"/>
      <c r="AD20" s="141"/>
      <c r="AE20" s="141"/>
      <c r="AF20" s="141"/>
      <c r="AG20" s="141"/>
      <c r="AH20" s="141"/>
      <c r="AI20" s="141"/>
      <c r="AJ20" s="142"/>
      <c r="AK20" s="147"/>
      <c r="AL20" s="148"/>
      <c r="BD20" s="14"/>
      <c r="CM20" s="14"/>
      <c r="CN20" s="14"/>
      <c r="CO20" s="14"/>
      <c r="CP20" s="14"/>
      <c r="CQ20" s="14"/>
      <c r="CR20" s="14"/>
      <c r="CS20" s="14"/>
      <c r="CT20" s="14"/>
      <c r="DL20" s="14"/>
    </row>
    <row r="21" spans="2:116" x14ac:dyDescent="0.2">
      <c r="BD21" s="14"/>
      <c r="CM21" s="14"/>
      <c r="CN21" s="14"/>
      <c r="CO21" s="14"/>
      <c r="CP21" s="14"/>
      <c r="CQ21" s="14"/>
      <c r="CR21" s="14"/>
      <c r="CS21" s="14"/>
      <c r="CT21" s="14"/>
    </row>
    <row r="22" spans="2:116" x14ac:dyDescent="0.2">
      <c r="B22" s="1" t="s">
        <v>32</v>
      </c>
      <c r="BD22" s="14"/>
      <c r="CM22" s="14"/>
      <c r="CN22" s="14"/>
      <c r="CO22" s="14"/>
      <c r="CP22" s="14"/>
      <c r="CQ22" s="14"/>
      <c r="CR22" s="14"/>
      <c r="CS22" s="14"/>
      <c r="CT22" s="14"/>
      <c r="DL22" s="14"/>
    </row>
    <row r="23" spans="2:116" ht="6" customHeight="1" thickBot="1" x14ac:dyDescent="0.25">
      <c r="BD23" s="14"/>
      <c r="CM23" s="14"/>
      <c r="CN23" s="14"/>
      <c r="CO23" s="14"/>
      <c r="CP23" s="14"/>
      <c r="CQ23" s="14"/>
      <c r="CR23" s="14"/>
      <c r="CS23" s="14"/>
      <c r="CT23" s="14"/>
      <c r="DL23" s="14"/>
    </row>
    <row r="24" spans="2:116" s="4" customFormat="1" ht="16.5" customHeight="1" thickBot="1" x14ac:dyDescent="0.25">
      <c r="B24" s="95" t="s">
        <v>15</v>
      </c>
      <c r="C24" s="96"/>
      <c r="D24" s="97" t="s">
        <v>27</v>
      </c>
      <c r="E24" s="98"/>
      <c r="F24" s="99"/>
      <c r="G24" s="97"/>
      <c r="H24" s="98"/>
      <c r="I24" s="99"/>
      <c r="J24" s="97" t="s">
        <v>16</v>
      </c>
      <c r="K24" s="98"/>
      <c r="L24" s="98"/>
      <c r="M24" s="98"/>
      <c r="N24" s="99"/>
      <c r="O24" s="97" t="s">
        <v>17</v>
      </c>
      <c r="P24" s="98"/>
      <c r="Q24" s="98"/>
      <c r="R24" s="98"/>
      <c r="S24" s="98"/>
      <c r="T24" s="98"/>
      <c r="U24" s="98"/>
      <c r="V24" s="98"/>
      <c r="W24" s="98"/>
      <c r="X24" s="98"/>
      <c r="Y24" s="98"/>
      <c r="Z24" s="98"/>
      <c r="AA24" s="98"/>
      <c r="AB24" s="98"/>
      <c r="AC24" s="98"/>
      <c r="AD24" s="98"/>
      <c r="AE24" s="98"/>
      <c r="AF24" s="98"/>
      <c r="AG24" s="98"/>
      <c r="AH24" s="98"/>
      <c r="AI24" s="98"/>
      <c r="AJ24" s="98"/>
      <c r="AK24" s="98"/>
      <c r="AL24" s="98"/>
      <c r="AM24" s="98"/>
      <c r="AN24" s="98"/>
      <c r="AO24" s="98"/>
      <c r="AP24" s="98"/>
      <c r="AQ24" s="98"/>
      <c r="AR24" s="98"/>
      <c r="AS24" s="98"/>
      <c r="AT24" s="98"/>
      <c r="AU24" s="98"/>
      <c r="AV24" s="99"/>
      <c r="AW24" s="97" t="s">
        <v>20</v>
      </c>
      <c r="AX24" s="98"/>
      <c r="AY24" s="98"/>
      <c r="AZ24" s="98"/>
      <c r="BA24" s="99"/>
      <c r="BB24" s="149"/>
      <c r="BC24" s="150"/>
      <c r="BD24" s="16"/>
      <c r="BE24" s="46"/>
      <c r="BF24" s="47" t="s">
        <v>24</v>
      </c>
      <c r="BG24" s="48"/>
      <c r="BH24" s="48"/>
      <c r="BI24" s="46"/>
      <c r="BJ24" s="46"/>
      <c r="BK24" s="46"/>
      <c r="BL24" s="46"/>
      <c r="BM24" s="46"/>
      <c r="BN24" s="46"/>
      <c r="BO24" s="46"/>
      <c r="BP24" s="46"/>
      <c r="BQ24" s="46"/>
      <c r="BR24" s="46"/>
      <c r="BS24" s="46"/>
      <c r="BT24" s="46"/>
      <c r="BU24" s="46"/>
      <c r="BV24" s="49"/>
      <c r="BW24" s="49"/>
      <c r="BX24" s="49"/>
      <c r="BY24" s="49"/>
      <c r="BZ24" s="49"/>
      <c r="CA24" s="49"/>
      <c r="CB24" s="49"/>
      <c r="CC24" s="34"/>
      <c r="CD24" s="34"/>
      <c r="CE24" s="34"/>
      <c r="CF24" s="34"/>
      <c r="CG24" s="34"/>
      <c r="CH24" s="34"/>
      <c r="CI24" s="34"/>
      <c r="CJ24" s="34"/>
      <c r="CK24" s="34"/>
      <c r="CL24" s="34"/>
      <c r="CM24" s="37"/>
      <c r="CN24" s="37"/>
      <c r="CO24" s="37"/>
      <c r="CP24" s="37"/>
      <c r="CQ24" s="37"/>
      <c r="CR24" s="37"/>
      <c r="CS24" s="37"/>
      <c r="CT24" s="37"/>
      <c r="CU24" s="34"/>
      <c r="CV24" s="34"/>
      <c r="CW24" s="34"/>
      <c r="CX24" s="34"/>
      <c r="CY24" s="34"/>
      <c r="CZ24" s="34"/>
      <c r="DA24" s="34"/>
      <c r="DB24" s="34"/>
      <c r="DC24" s="34"/>
      <c r="DD24" s="34"/>
      <c r="DE24" s="34"/>
      <c r="DF24" s="34"/>
      <c r="DG24" s="34"/>
      <c r="DH24" s="34"/>
      <c r="DI24" s="34"/>
      <c r="DJ24" s="34"/>
      <c r="DK24" s="34"/>
      <c r="DL24" s="15"/>
    </row>
    <row r="25" spans="2:116" s="5" customFormat="1" ht="18" customHeight="1" x14ac:dyDescent="0.2">
      <c r="B25" s="93">
        <v>1</v>
      </c>
      <c r="C25" s="94"/>
      <c r="D25" s="94">
        <v>1</v>
      </c>
      <c r="E25" s="94"/>
      <c r="F25" s="94"/>
      <c r="G25" s="94"/>
      <c r="H25" s="94"/>
      <c r="I25" s="94"/>
      <c r="J25" s="128">
        <f>$H$10</f>
        <v>0.625</v>
      </c>
      <c r="K25" s="128"/>
      <c r="L25" s="128"/>
      <c r="M25" s="128"/>
      <c r="N25" s="129"/>
      <c r="O25" s="71" t="str">
        <f>P16</f>
        <v>Oschwand</v>
      </c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  <c r="AA25" s="72"/>
      <c r="AB25" s="72"/>
      <c r="AC25" s="72"/>
      <c r="AD25" s="72"/>
      <c r="AE25" s="12" t="s">
        <v>19</v>
      </c>
      <c r="AF25" s="72" t="str">
        <f>P17</f>
        <v>Bethli</v>
      </c>
      <c r="AG25" s="72"/>
      <c r="AH25" s="72"/>
      <c r="AI25" s="72"/>
      <c r="AJ25" s="72"/>
      <c r="AK25" s="72"/>
      <c r="AL25" s="72"/>
      <c r="AM25" s="72"/>
      <c r="AN25" s="72"/>
      <c r="AO25" s="72"/>
      <c r="AP25" s="72"/>
      <c r="AQ25" s="72"/>
      <c r="AR25" s="72"/>
      <c r="AS25" s="72"/>
      <c r="AT25" s="72"/>
      <c r="AU25" s="72"/>
      <c r="AV25" s="73"/>
      <c r="AW25" s="116"/>
      <c r="AX25" s="117"/>
      <c r="AY25" s="12" t="s">
        <v>18</v>
      </c>
      <c r="AZ25" s="117"/>
      <c r="BA25" s="126"/>
      <c r="BB25" s="116"/>
      <c r="BC25" s="125"/>
      <c r="BE25" s="46"/>
      <c r="BF25" s="50" t="str">
        <f>IF(ISBLANK(AW25),"0",IF(AW25&gt;AZ25,3,IF(AW25=AZ25,1,0)))</f>
        <v>0</v>
      </c>
      <c r="BG25" s="50" t="s">
        <v>18</v>
      </c>
      <c r="BH25" s="50" t="str">
        <f>IF(ISBLANK(AZ25),"0",IF(AZ25&gt;AW25,3,IF(AZ25=AW25,1,0)))</f>
        <v>0</v>
      </c>
      <c r="BI25" s="46"/>
      <c r="BJ25" s="46"/>
      <c r="BK25" s="46"/>
      <c r="BL25" s="46"/>
      <c r="BM25" s="54" t="str">
        <f>$P$18</f>
        <v>Dream Team</v>
      </c>
      <c r="BN25" s="52">
        <f>COUNT($BF$26,$BH$28,$BH$30,$BF$32)</f>
        <v>0</v>
      </c>
      <c r="BO25" s="52">
        <f>SUM($BF$26+$BH$28+$BH$30+$BF$32)</f>
        <v>0</v>
      </c>
      <c r="BP25" s="52">
        <f>SUM($AW$26+$AZ$28+$AZ$30+$AW$32)</f>
        <v>0</v>
      </c>
      <c r="BQ25" s="53" t="s">
        <v>18</v>
      </c>
      <c r="BR25" s="52">
        <f>SUM($AZ$26+$AW$28+$AW$30+$AZ$32)</f>
        <v>0</v>
      </c>
      <c r="BS25" s="52">
        <f>SUM(BP25-BR25)</f>
        <v>0</v>
      </c>
      <c r="BT25" s="46"/>
      <c r="BU25" s="46"/>
      <c r="BV25" s="49"/>
      <c r="BW25" s="49"/>
      <c r="BX25" s="49"/>
      <c r="BY25" s="49"/>
      <c r="BZ25" s="49"/>
      <c r="CA25" s="49"/>
      <c r="CB25" s="49"/>
      <c r="CC25" s="35"/>
      <c r="CD25" s="35"/>
      <c r="CE25" s="35"/>
      <c r="CF25" s="35"/>
      <c r="CG25" s="35"/>
      <c r="CH25" s="35"/>
      <c r="CI25" s="35"/>
      <c r="CJ25" s="35"/>
      <c r="CK25" s="35"/>
      <c r="CL25" s="35"/>
      <c r="CU25" s="35"/>
      <c r="CV25" s="35"/>
      <c r="CW25" s="35"/>
      <c r="CX25" s="35"/>
      <c r="CY25" s="35"/>
      <c r="CZ25" s="35"/>
      <c r="DA25" s="35"/>
      <c r="DB25" s="35"/>
      <c r="DC25" s="35"/>
      <c r="DD25" s="35"/>
      <c r="DE25" s="35"/>
      <c r="DF25" s="35"/>
      <c r="DG25" s="35"/>
      <c r="DH25" s="35"/>
      <c r="DI25" s="35"/>
      <c r="DJ25" s="35"/>
      <c r="DK25" s="35"/>
    </row>
    <row r="26" spans="2:116" s="4" customFormat="1" ht="18" customHeight="1" thickBot="1" x14ac:dyDescent="0.25">
      <c r="B26" s="127">
        <v>2</v>
      </c>
      <c r="C26" s="118"/>
      <c r="D26" s="118">
        <v>1</v>
      </c>
      <c r="E26" s="118"/>
      <c r="F26" s="118"/>
      <c r="G26" s="118"/>
      <c r="H26" s="118"/>
      <c r="I26" s="118"/>
      <c r="J26" s="89">
        <f>J25+$U$10*$X$10+$AL$10</f>
        <v>0.63541666666666663</v>
      </c>
      <c r="K26" s="89"/>
      <c r="L26" s="89"/>
      <c r="M26" s="89"/>
      <c r="N26" s="90"/>
      <c r="O26" s="91" t="str">
        <f>P18</f>
        <v>Dream Team</v>
      </c>
      <c r="P26" s="92"/>
      <c r="Q26" s="92"/>
      <c r="R26" s="92"/>
      <c r="S26" s="92"/>
      <c r="T26" s="92"/>
      <c r="U26" s="92"/>
      <c r="V26" s="92"/>
      <c r="W26" s="92"/>
      <c r="X26" s="92"/>
      <c r="Y26" s="92"/>
      <c r="Z26" s="92"/>
      <c r="AA26" s="92"/>
      <c r="AB26" s="92"/>
      <c r="AC26" s="92"/>
      <c r="AD26" s="92"/>
      <c r="AE26" s="8" t="s">
        <v>19</v>
      </c>
      <c r="AF26" s="92" t="str">
        <f>P19</f>
        <v>Blasi Hasi</v>
      </c>
      <c r="AG26" s="92"/>
      <c r="AH26" s="92"/>
      <c r="AI26" s="92"/>
      <c r="AJ26" s="92"/>
      <c r="AK26" s="92"/>
      <c r="AL26" s="92"/>
      <c r="AM26" s="92"/>
      <c r="AN26" s="92"/>
      <c r="AO26" s="92"/>
      <c r="AP26" s="92"/>
      <c r="AQ26" s="92"/>
      <c r="AR26" s="92"/>
      <c r="AS26" s="92"/>
      <c r="AT26" s="92"/>
      <c r="AU26" s="92"/>
      <c r="AV26" s="124"/>
      <c r="AW26" s="114"/>
      <c r="AX26" s="122"/>
      <c r="AY26" s="8" t="s">
        <v>18</v>
      </c>
      <c r="AZ26" s="122"/>
      <c r="BA26" s="123"/>
      <c r="BB26" s="114"/>
      <c r="BC26" s="115"/>
      <c r="BD26" s="16"/>
      <c r="BE26" s="46"/>
      <c r="BF26" s="50" t="e">
        <f>#N/A</f>
        <v>#N/A</v>
      </c>
      <c r="BG26" s="50" t="s">
        <v>18</v>
      </c>
      <c r="BH26" s="50" t="e">
        <f>#N/A</f>
        <v>#N/A</v>
      </c>
      <c r="BI26" s="46"/>
      <c r="BJ26" s="46"/>
      <c r="BK26" s="46"/>
      <c r="BL26" s="46"/>
      <c r="BM26" s="54" t="str">
        <f>$P$17</f>
        <v>Bethli</v>
      </c>
      <c r="BN26" s="52">
        <f>COUNT($BH$25,$BF$28,$BF$31,$BH$34)</f>
        <v>0</v>
      </c>
      <c r="BO26" s="52">
        <f>SUM($BH$25+$BF$28+$BF$31+$BH$34)</f>
        <v>0</v>
      </c>
      <c r="BP26" s="52">
        <f>SUM($AZ$25+$AW$28+$AW$31+$AZ$34)</f>
        <v>0</v>
      </c>
      <c r="BQ26" s="53" t="s">
        <v>18</v>
      </c>
      <c r="BR26" s="52">
        <f>SUM($AW$25+$AZ$28+$AZ$31+$AW$34)</f>
        <v>0</v>
      </c>
      <c r="BS26" s="52">
        <f>SUM(BP26-BR26)</f>
        <v>0</v>
      </c>
      <c r="BT26" s="46"/>
      <c r="BU26" s="46"/>
      <c r="BV26" s="49"/>
      <c r="BW26" s="49"/>
      <c r="BX26" s="49"/>
      <c r="BY26" s="49"/>
      <c r="BZ26" s="49"/>
      <c r="CA26" s="49"/>
      <c r="CB26" s="49"/>
      <c r="CC26" s="34"/>
      <c r="CD26" s="34"/>
      <c r="CE26" s="34"/>
      <c r="CF26" s="34"/>
      <c r="CG26" s="34"/>
      <c r="CH26" s="34"/>
      <c r="CI26" s="34"/>
      <c r="CJ26" s="34"/>
      <c r="CK26" s="34"/>
      <c r="CL26" s="34"/>
      <c r="CM26" s="16"/>
      <c r="CN26" s="16"/>
      <c r="CO26" s="16"/>
      <c r="CP26" s="16"/>
      <c r="CQ26" s="16"/>
      <c r="CR26" s="16"/>
      <c r="CS26" s="16"/>
      <c r="CT26" s="16"/>
      <c r="CU26" s="34"/>
      <c r="CV26" s="34"/>
      <c r="CW26" s="34"/>
      <c r="CX26" s="34"/>
      <c r="CY26" s="34"/>
      <c r="CZ26" s="34"/>
      <c r="DA26" s="34"/>
      <c r="DB26" s="34"/>
      <c r="DC26" s="34"/>
      <c r="DD26" s="34"/>
      <c r="DE26" s="34"/>
      <c r="DF26" s="34"/>
      <c r="DG26" s="34"/>
      <c r="DH26" s="34"/>
      <c r="DI26" s="34"/>
      <c r="DJ26" s="34"/>
      <c r="DK26" s="34"/>
      <c r="DL26" s="16"/>
    </row>
    <row r="27" spans="2:116" s="4" customFormat="1" ht="18" customHeight="1" x14ac:dyDescent="0.2">
      <c r="B27" s="93">
        <v>3</v>
      </c>
      <c r="C27" s="94"/>
      <c r="D27" s="94">
        <v>1</v>
      </c>
      <c r="E27" s="94"/>
      <c r="F27" s="94"/>
      <c r="G27" s="94"/>
      <c r="H27" s="94"/>
      <c r="I27" s="94"/>
      <c r="J27" s="74">
        <f>#N/A</f>
        <v>0.64583333333333326</v>
      </c>
      <c r="K27" s="74"/>
      <c r="L27" s="74"/>
      <c r="M27" s="74"/>
      <c r="N27" s="75"/>
      <c r="O27" s="71" t="str">
        <f>P20</f>
        <v>Mach di vom Acher</v>
      </c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  <c r="AA27" s="72"/>
      <c r="AB27" s="72"/>
      <c r="AC27" s="72"/>
      <c r="AD27" s="72"/>
      <c r="AE27" s="12" t="s">
        <v>19</v>
      </c>
      <c r="AF27" s="72" t="str">
        <f>P16</f>
        <v>Oschwand</v>
      </c>
      <c r="AG27" s="72"/>
      <c r="AH27" s="72"/>
      <c r="AI27" s="72"/>
      <c r="AJ27" s="72"/>
      <c r="AK27" s="72"/>
      <c r="AL27" s="72"/>
      <c r="AM27" s="72"/>
      <c r="AN27" s="72"/>
      <c r="AO27" s="72"/>
      <c r="AP27" s="72"/>
      <c r="AQ27" s="72"/>
      <c r="AR27" s="72"/>
      <c r="AS27" s="72"/>
      <c r="AT27" s="72"/>
      <c r="AU27" s="72"/>
      <c r="AV27" s="73"/>
      <c r="AW27" s="116"/>
      <c r="AX27" s="117"/>
      <c r="AY27" s="12" t="s">
        <v>18</v>
      </c>
      <c r="AZ27" s="117"/>
      <c r="BA27" s="126"/>
      <c r="BB27" s="116"/>
      <c r="BC27" s="125"/>
      <c r="BD27" s="16"/>
      <c r="BE27" s="46"/>
      <c r="BF27" s="50" t="str">
        <f>#N/A</f>
        <v>0</v>
      </c>
      <c r="BG27" s="50" t="s">
        <v>18</v>
      </c>
      <c r="BH27" s="50" t="str">
        <f>#N/A</f>
        <v>0</v>
      </c>
      <c r="BI27" s="46"/>
      <c r="BJ27" s="46"/>
      <c r="BK27" s="46"/>
      <c r="BL27" s="46"/>
      <c r="BM27" s="54" t="str">
        <f>$P$19</f>
        <v>Blasi Hasi</v>
      </c>
      <c r="BN27" s="52">
        <f>COUNT($BH$26,$BF$29,$BH$31,$BF$33)</f>
        <v>0</v>
      </c>
      <c r="BO27" s="52">
        <f>SUM($BH$26+$BF$29+$BH$31+$BF$33)</f>
        <v>0</v>
      </c>
      <c r="BP27" s="52">
        <f>SUM($AZ$26+$AW$29+$AZ$31+$AW$33)</f>
        <v>0</v>
      </c>
      <c r="BQ27" s="53" t="s">
        <v>18</v>
      </c>
      <c r="BR27" s="52">
        <f>SUM($AW$26+$AZ$29+$AW$31+$AZ$33)</f>
        <v>0</v>
      </c>
      <c r="BS27" s="52">
        <f>SUM(BP27-BR27)</f>
        <v>0</v>
      </c>
      <c r="BT27" s="46"/>
      <c r="BU27" s="46"/>
      <c r="BV27" s="49"/>
      <c r="BW27" s="49"/>
      <c r="BX27" s="49"/>
      <c r="BY27" s="49"/>
      <c r="BZ27" s="49"/>
      <c r="CA27" s="49"/>
      <c r="CB27" s="49"/>
      <c r="CC27" s="34"/>
      <c r="CD27" s="34"/>
      <c r="CE27" s="34"/>
      <c r="CF27" s="34"/>
      <c r="CG27" s="34"/>
      <c r="CH27" s="34"/>
      <c r="CI27" s="34"/>
      <c r="CJ27" s="34"/>
      <c r="CK27" s="34"/>
      <c r="CL27" s="34"/>
      <c r="CM27" s="16"/>
      <c r="CN27" s="16"/>
      <c r="CO27" s="16"/>
      <c r="CP27" s="16"/>
      <c r="CQ27" s="16"/>
      <c r="CR27" s="16"/>
      <c r="CS27" s="16"/>
      <c r="CT27" s="16"/>
      <c r="CU27" s="34"/>
      <c r="CV27" s="34"/>
      <c r="CW27" s="34"/>
      <c r="CX27" s="34"/>
      <c r="CY27" s="34"/>
      <c r="CZ27" s="34"/>
      <c r="DA27" s="34"/>
      <c r="DB27" s="34"/>
      <c r="DC27" s="34"/>
      <c r="DD27" s="34"/>
      <c r="DE27" s="34"/>
      <c r="DF27" s="34"/>
      <c r="DG27" s="34"/>
      <c r="DH27" s="34"/>
      <c r="DI27" s="34"/>
      <c r="DJ27" s="34"/>
      <c r="DK27" s="34"/>
      <c r="DL27" s="16"/>
    </row>
    <row r="28" spans="2:116" s="4" customFormat="1" ht="18" customHeight="1" thickBot="1" x14ac:dyDescent="0.25">
      <c r="B28" s="127">
        <v>4</v>
      </c>
      <c r="C28" s="118"/>
      <c r="D28" s="118">
        <v>1</v>
      </c>
      <c r="E28" s="118"/>
      <c r="F28" s="118"/>
      <c r="G28" s="118"/>
      <c r="H28" s="118"/>
      <c r="I28" s="118"/>
      <c r="J28" s="89">
        <f>#N/A</f>
        <v>0.65624999999999989</v>
      </c>
      <c r="K28" s="89"/>
      <c r="L28" s="89"/>
      <c r="M28" s="89"/>
      <c r="N28" s="90"/>
      <c r="O28" s="91" t="str">
        <f>P17</f>
        <v>Bethli</v>
      </c>
      <c r="P28" s="92"/>
      <c r="Q28" s="92"/>
      <c r="R28" s="92"/>
      <c r="S28" s="92"/>
      <c r="T28" s="92"/>
      <c r="U28" s="92"/>
      <c r="V28" s="92"/>
      <c r="W28" s="92"/>
      <c r="X28" s="92"/>
      <c r="Y28" s="92"/>
      <c r="Z28" s="92"/>
      <c r="AA28" s="92"/>
      <c r="AB28" s="92"/>
      <c r="AC28" s="92"/>
      <c r="AD28" s="92"/>
      <c r="AE28" s="8" t="s">
        <v>19</v>
      </c>
      <c r="AF28" s="92" t="str">
        <f>P18</f>
        <v>Dream Team</v>
      </c>
      <c r="AG28" s="92"/>
      <c r="AH28" s="92"/>
      <c r="AI28" s="92"/>
      <c r="AJ28" s="92"/>
      <c r="AK28" s="92"/>
      <c r="AL28" s="92"/>
      <c r="AM28" s="92"/>
      <c r="AN28" s="92"/>
      <c r="AO28" s="92"/>
      <c r="AP28" s="92"/>
      <c r="AQ28" s="92"/>
      <c r="AR28" s="92"/>
      <c r="AS28" s="92"/>
      <c r="AT28" s="92"/>
      <c r="AU28" s="92"/>
      <c r="AV28" s="124"/>
      <c r="AW28" s="114"/>
      <c r="AX28" s="122"/>
      <c r="AY28" s="8" t="s">
        <v>18</v>
      </c>
      <c r="AZ28" s="122"/>
      <c r="BA28" s="123"/>
      <c r="BB28" s="114"/>
      <c r="BC28" s="115"/>
      <c r="BD28" s="16"/>
      <c r="BE28" s="46"/>
      <c r="BF28" s="50" t="str">
        <f>#N/A</f>
        <v>0</v>
      </c>
      <c r="BG28" s="50" t="s">
        <v>18</v>
      </c>
      <c r="BH28" s="50" t="str">
        <f>#N/A</f>
        <v>0</v>
      </c>
      <c r="BI28" s="46"/>
      <c r="BJ28" s="46"/>
      <c r="BK28" s="46"/>
      <c r="BL28" s="46"/>
      <c r="BM28" s="54" t="str">
        <f>$P$20</f>
        <v>Mach di vom Acher</v>
      </c>
      <c r="BN28" s="52">
        <f>COUNT($BF$27,$BH$29,$BH$32,$BF$34)</f>
        <v>0</v>
      </c>
      <c r="BO28" s="52">
        <f>SUM($BF$27+$BH$29+$BH$32+$BF$34)</f>
        <v>0</v>
      </c>
      <c r="BP28" s="52">
        <f>SUM($AW$27+$AZ$29+$AZ$32+$AW$34)</f>
        <v>0</v>
      </c>
      <c r="BQ28" s="53" t="s">
        <v>18</v>
      </c>
      <c r="BR28" s="52">
        <f>SUM($AZ$27+$AW$29+$AW$32+$AZ$34)</f>
        <v>0</v>
      </c>
      <c r="BS28" s="52">
        <f>SUM(BP28-BR28)</f>
        <v>0</v>
      </c>
      <c r="BT28" s="46"/>
      <c r="BU28" s="46"/>
      <c r="BV28" s="49"/>
      <c r="BW28" s="49"/>
      <c r="BX28" s="49"/>
      <c r="BY28" s="49"/>
      <c r="BZ28" s="49"/>
      <c r="CA28" s="49"/>
      <c r="CB28" s="49"/>
      <c r="CC28" s="34"/>
      <c r="CD28" s="34"/>
      <c r="CE28" s="34"/>
      <c r="CF28" s="34"/>
      <c r="CG28" s="34"/>
      <c r="CH28" s="34"/>
      <c r="CI28" s="34"/>
      <c r="CJ28" s="34"/>
      <c r="CK28" s="34"/>
      <c r="CL28" s="34"/>
      <c r="CM28" s="16"/>
      <c r="CN28" s="16"/>
      <c r="CO28" s="16"/>
      <c r="CP28" s="16"/>
      <c r="CQ28" s="16"/>
      <c r="CR28" s="16"/>
      <c r="CS28" s="16"/>
      <c r="CT28" s="16"/>
      <c r="CU28" s="34"/>
      <c r="CV28" s="34"/>
      <c r="CW28" s="34"/>
      <c r="CX28" s="34"/>
      <c r="CY28" s="34"/>
      <c r="CZ28" s="34"/>
      <c r="DA28" s="34"/>
      <c r="DB28" s="34"/>
      <c r="DC28" s="34"/>
      <c r="DD28" s="34"/>
      <c r="DE28" s="34"/>
      <c r="DF28" s="34"/>
      <c r="DG28" s="34"/>
      <c r="DH28" s="34"/>
      <c r="DI28" s="34"/>
      <c r="DJ28" s="34"/>
      <c r="DK28" s="34"/>
      <c r="DL28" s="16"/>
    </row>
    <row r="29" spans="2:116" s="4" customFormat="1" ht="18" customHeight="1" x14ac:dyDescent="0.2">
      <c r="B29" s="93">
        <v>5</v>
      </c>
      <c r="C29" s="94"/>
      <c r="D29" s="94">
        <v>1</v>
      </c>
      <c r="E29" s="94"/>
      <c r="F29" s="94"/>
      <c r="G29" s="94"/>
      <c r="H29" s="94"/>
      <c r="I29" s="94"/>
      <c r="J29" s="74">
        <f>#N/A</f>
        <v>0.66666666666666652</v>
      </c>
      <c r="K29" s="74"/>
      <c r="L29" s="74"/>
      <c r="M29" s="74"/>
      <c r="N29" s="75"/>
      <c r="O29" s="71" t="str">
        <f>P19</f>
        <v>Blasi Hasi</v>
      </c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  <c r="AA29" s="72"/>
      <c r="AB29" s="72"/>
      <c r="AC29" s="72"/>
      <c r="AD29" s="72"/>
      <c r="AE29" s="12" t="s">
        <v>19</v>
      </c>
      <c r="AF29" s="72" t="str">
        <f>P20</f>
        <v>Mach di vom Acher</v>
      </c>
      <c r="AG29" s="72"/>
      <c r="AH29" s="72"/>
      <c r="AI29" s="72"/>
      <c r="AJ29" s="72"/>
      <c r="AK29" s="72"/>
      <c r="AL29" s="72"/>
      <c r="AM29" s="72"/>
      <c r="AN29" s="72"/>
      <c r="AO29" s="72"/>
      <c r="AP29" s="72"/>
      <c r="AQ29" s="72"/>
      <c r="AR29" s="72"/>
      <c r="AS29" s="72"/>
      <c r="AT29" s="72"/>
      <c r="AU29" s="72"/>
      <c r="AV29" s="73"/>
      <c r="AW29" s="116"/>
      <c r="AX29" s="117"/>
      <c r="AY29" s="12" t="s">
        <v>18</v>
      </c>
      <c r="AZ29" s="117"/>
      <c r="BA29" s="126"/>
      <c r="BB29" s="116"/>
      <c r="BC29" s="125"/>
      <c r="BD29" s="16"/>
      <c r="BE29" s="46"/>
      <c r="BF29" s="50" t="str">
        <f>#N/A</f>
        <v>0</v>
      </c>
      <c r="BG29" s="50" t="s">
        <v>18</v>
      </c>
      <c r="BH29" s="50" t="str">
        <f>#N/A</f>
        <v>0</v>
      </c>
      <c r="BI29" s="46"/>
      <c r="BJ29" s="46"/>
      <c r="BK29" s="46"/>
      <c r="BL29" s="46"/>
      <c r="BM29" s="51" t="str">
        <f>$P$16</f>
        <v>Oschwand</v>
      </c>
      <c r="BN29" s="52">
        <f>COUNT($BF$25,$BH$27,$BF$30,$BH$33)</f>
        <v>0</v>
      </c>
      <c r="BO29" s="52">
        <f>SUM($BF$25+$BH$27+$BF$30+$BH$33)</f>
        <v>0</v>
      </c>
      <c r="BP29" s="52">
        <f>SUM($AW$25+$AZ$27+$AW$30+$AZ$33)</f>
        <v>0</v>
      </c>
      <c r="BQ29" s="53" t="s">
        <v>18</v>
      </c>
      <c r="BR29" s="52">
        <f>SUM($AZ$25+$AW$27+$AZ$30+$AW$33)</f>
        <v>0</v>
      </c>
      <c r="BS29" s="52">
        <f>SUM(BP29-BR29)</f>
        <v>0</v>
      </c>
      <c r="BT29" s="46"/>
      <c r="BU29" s="46"/>
      <c r="BV29" s="49"/>
      <c r="BW29" s="49"/>
      <c r="BX29" s="49"/>
      <c r="BY29" s="49"/>
      <c r="BZ29" s="49"/>
      <c r="CA29" s="49"/>
      <c r="CB29" s="49"/>
      <c r="CC29" s="34"/>
      <c r="CD29" s="34"/>
      <c r="CE29" s="34"/>
      <c r="CF29" s="34"/>
      <c r="CG29" s="34"/>
      <c r="CH29" s="34"/>
      <c r="CI29" s="34"/>
      <c r="CJ29" s="34"/>
      <c r="CK29" s="34"/>
      <c r="CL29" s="34"/>
      <c r="CM29" s="16"/>
      <c r="CN29" s="16"/>
      <c r="CO29" s="16"/>
      <c r="CP29" s="16"/>
      <c r="CQ29" s="16"/>
      <c r="CR29" s="16"/>
      <c r="CS29" s="16"/>
      <c r="CT29" s="16"/>
      <c r="CU29" s="34"/>
      <c r="CV29" s="34"/>
      <c r="CW29" s="34"/>
      <c r="CX29" s="34"/>
      <c r="CY29" s="34"/>
      <c r="CZ29" s="34"/>
      <c r="DA29" s="34"/>
      <c r="DB29" s="34"/>
      <c r="DC29" s="34"/>
      <c r="DD29" s="34"/>
      <c r="DE29" s="34"/>
      <c r="DF29" s="34"/>
      <c r="DG29" s="34"/>
      <c r="DH29" s="34"/>
      <c r="DI29" s="34"/>
      <c r="DJ29" s="34"/>
      <c r="DK29" s="34"/>
      <c r="DL29" s="16"/>
    </row>
    <row r="30" spans="2:116" s="4" customFormat="1" ht="18" customHeight="1" thickBot="1" x14ac:dyDescent="0.25">
      <c r="B30" s="127">
        <v>6</v>
      </c>
      <c r="C30" s="118"/>
      <c r="D30" s="118">
        <v>1</v>
      </c>
      <c r="E30" s="118"/>
      <c r="F30" s="118"/>
      <c r="G30" s="118"/>
      <c r="H30" s="118"/>
      <c r="I30" s="118"/>
      <c r="J30" s="89">
        <f>#N/A</f>
        <v>0.67708333333333315</v>
      </c>
      <c r="K30" s="89"/>
      <c r="L30" s="89"/>
      <c r="M30" s="89"/>
      <c r="N30" s="90"/>
      <c r="O30" s="91" t="str">
        <f>P16</f>
        <v>Oschwand</v>
      </c>
      <c r="P30" s="92"/>
      <c r="Q30" s="92"/>
      <c r="R30" s="92"/>
      <c r="S30" s="92"/>
      <c r="T30" s="92"/>
      <c r="U30" s="92"/>
      <c r="V30" s="92"/>
      <c r="W30" s="92"/>
      <c r="X30" s="92"/>
      <c r="Y30" s="92"/>
      <c r="Z30" s="92"/>
      <c r="AA30" s="92"/>
      <c r="AB30" s="92"/>
      <c r="AC30" s="92"/>
      <c r="AD30" s="92"/>
      <c r="AE30" s="8" t="s">
        <v>19</v>
      </c>
      <c r="AF30" s="92" t="str">
        <f>P18</f>
        <v>Dream Team</v>
      </c>
      <c r="AG30" s="92"/>
      <c r="AH30" s="92"/>
      <c r="AI30" s="92"/>
      <c r="AJ30" s="92"/>
      <c r="AK30" s="92"/>
      <c r="AL30" s="92"/>
      <c r="AM30" s="92"/>
      <c r="AN30" s="92"/>
      <c r="AO30" s="92"/>
      <c r="AP30" s="92"/>
      <c r="AQ30" s="92"/>
      <c r="AR30" s="92"/>
      <c r="AS30" s="92"/>
      <c r="AT30" s="92"/>
      <c r="AU30" s="92"/>
      <c r="AV30" s="124"/>
      <c r="AW30" s="114"/>
      <c r="AX30" s="122"/>
      <c r="AY30" s="8" t="s">
        <v>18</v>
      </c>
      <c r="AZ30" s="122"/>
      <c r="BA30" s="123"/>
      <c r="BB30" s="114"/>
      <c r="BC30" s="115"/>
      <c r="BD30" s="16"/>
      <c r="BE30" s="46"/>
      <c r="BF30" s="50" t="str">
        <f>#N/A</f>
        <v>0</v>
      </c>
      <c r="BG30" s="50" t="s">
        <v>18</v>
      </c>
      <c r="BH30" s="50" t="str">
        <f>#N/A</f>
        <v>0</v>
      </c>
      <c r="BI30" s="46"/>
      <c r="BJ30" s="46"/>
      <c r="BK30" s="40"/>
      <c r="BL30" s="40"/>
      <c r="BM30" s="40"/>
      <c r="BN30" s="40"/>
      <c r="BO30" s="40"/>
      <c r="BP30" s="40"/>
      <c r="BQ30" s="40"/>
      <c r="BR30" s="40"/>
      <c r="BS30" s="40"/>
      <c r="BT30" s="46"/>
      <c r="BU30" s="46"/>
      <c r="BV30" s="49"/>
      <c r="BW30" s="49"/>
      <c r="BX30" s="49"/>
      <c r="BY30" s="49"/>
      <c r="BZ30" s="49"/>
      <c r="CA30" s="49"/>
      <c r="CB30" s="49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16"/>
      <c r="CN30" s="16"/>
      <c r="CO30" s="16"/>
      <c r="CP30" s="16"/>
      <c r="CQ30" s="16"/>
      <c r="CR30" s="16"/>
      <c r="CS30" s="16"/>
      <c r="CT30" s="16"/>
      <c r="CU30" s="34"/>
      <c r="CV30" s="34"/>
      <c r="CW30" s="34"/>
      <c r="CX30" s="34"/>
      <c r="CY30" s="34"/>
      <c r="CZ30" s="34"/>
      <c r="DA30" s="34"/>
      <c r="DB30" s="34"/>
      <c r="DC30" s="34"/>
      <c r="DD30" s="34"/>
      <c r="DE30" s="34"/>
      <c r="DF30" s="34"/>
      <c r="DG30" s="34"/>
      <c r="DH30" s="34"/>
      <c r="DI30" s="34"/>
      <c r="DJ30" s="34"/>
      <c r="DK30" s="34"/>
      <c r="DL30" s="16"/>
    </row>
    <row r="31" spans="2:116" s="4" customFormat="1" ht="18" customHeight="1" x14ac:dyDescent="0.2">
      <c r="B31" s="93">
        <v>7</v>
      </c>
      <c r="C31" s="94"/>
      <c r="D31" s="94">
        <v>1</v>
      </c>
      <c r="E31" s="94"/>
      <c r="F31" s="94"/>
      <c r="G31" s="94"/>
      <c r="H31" s="94"/>
      <c r="I31" s="94"/>
      <c r="J31" s="74">
        <f>#N/A</f>
        <v>0.68749999999999978</v>
      </c>
      <c r="K31" s="74"/>
      <c r="L31" s="74"/>
      <c r="M31" s="74"/>
      <c r="N31" s="75"/>
      <c r="O31" s="71" t="str">
        <f>P17</f>
        <v>Bethli</v>
      </c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  <c r="AA31" s="72"/>
      <c r="AB31" s="72"/>
      <c r="AC31" s="72"/>
      <c r="AD31" s="72"/>
      <c r="AE31" s="12" t="s">
        <v>19</v>
      </c>
      <c r="AF31" s="72" t="str">
        <f>P19</f>
        <v>Blasi Hasi</v>
      </c>
      <c r="AG31" s="72"/>
      <c r="AH31" s="72"/>
      <c r="AI31" s="72"/>
      <c r="AJ31" s="72"/>
      <c r="AK31" s="72"/>
      <c r="AL31" s="72"/>
      <c r="AM31" s="72"/>
      <c r="AN31" s="72"/>
      <c r="AO31" s="72"/>
      <c r="AP31" s="72"/>
      <c r="AQ31" s="72"/>
      <c r="AR31" s="72"/>
      <c r="AS31" s="72"/>
      <c r="AT31" s="72"/>
      <c r="AU31" s="72"/>
      <c r="AV31" s="73"/>
      <c r="AW31" s="116"/>
      <c r="AX31" s="117"/>
      <c r="AY31" s="12" t="s">
        <v>18</v>
      </c>
      <c r="AZ31" s="117"/>
      <c r="BA31" s="126"/>
      <c r="BB31" s="116"/>
      <c r="BC31" s="125"/>
      <c r="BD31" s="13"/>
      <c r="BE31" s="46"/>
      <c r="BF31" s="50" t="str">
        <f>#N/A</f>
        <v>0</v>
      </c>
      <c r="BG31" s="50" t="s">
        <v>18</v>
      </c>
      <c r="BH31" s="50" t="str">
        <f>#N/A</f>
        <v>0</v>
      </c>
      <c r="BI31" s="46"/>
      <c r="BJ31" s="46"/>
      <c r="BK31" s="55"/>
      <c r="BL31" s="55"/>
      <c r="BM31" s="34"/>
      <c r="BN31" s="34"/>
      <c r="BO31" s="34"/>
      <c r="BP31" s="34"/>
      <c r="BQ31" s="34"/>
      <c r="BR31" s="34"/>
      <c r="BS31" s="52"/>
      <c r="BT31" s="46"/>
      <c r="BU31" s="46"/>
      <c r="BV31" s="49"/>
      <c r="BW31" s="49"/>
      <c r="BX31" s="49"/>
      <c r="BY31" s="49"/>
      <c r="BZ31" s="49"/>
      <c r="CA31" s="49"/>
      <c r="CB31" s="49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16"/>
      <c r="CN31" s="16"/>
      <c r="CO31" s="16"/>
      <c r="CP31" s="16"/>
      <c r="CQ31" s="16"/>
      <c r="CR31" s="16"/>
      <c r="CS31" s="16"/>
      <c r="CT31" s="16"/>
      <c r="CU31" s="34"/>
      <c r="CV31" s="34"/>
      <c r="CW31" s="34"/>
      <c r="CX31" s="34"/>
      <c r="CY31" s="34"/>
      <c r="CZ31" s="34"/>
      <c r="DA31" s="34"/>
      <c r="DB31" s="34"/>
      <c r="DC31" s="34"/>
      <c r="DD31" s="34"/>
      <c r="DE31" s="34"/>
      <c r="DF31" s="34"/>
      <c r="DG31" s="34"/>
      <c r="DH31" s="34"/>
      <c r="DI31" s="34"/>
      <c r="DJ31" s="34"/>
      <c r="DK31" s="34"/>
      <c r="DL31" s="16"/>
    </row>
    <row r="32" spans="2:116" s="4" customFormat="1" ht="18" customHeight="1" thickBot="1" x14ac:dyDescent="0.25">
      <c r="B32" s="127">
        <v>8</v>
      </c>
      <c r="C32" s="118"/>
      <c r="D32" s="118">
        <v>1</v>
      </c>
      <c r="E32" s="118"/>
      <c r="F32" s="118"/>
      <c r="G32" s="118"/>
      <c r="H32" s="118"/>
      <c r="I32" s="118"/>
      <c r="J32" s="89">
        <f>#N/A</f>
        <v>0.69791666666666641</v>
      </c>
      <c r="K32" s="89"/>
      <c r="L32" s="89"/>
      <c r="M32" s="89"/>
      <c r="N32" s="90"/>
      <c r="O32" s="91" t="str">
        <f>P18</f>
        <v>Dream Team</v>
      </c>
      <c r="P32" s="92"/>
      <c r="Q32" s="92"/>
      <c r="R32" s="92"/>
      <c r="S32" s="92"/>
      <c r="T32" s="92"/>
      <c r="U32" s="92"/>
      <c r="V32" s="92"/>
      <c r="W32" s="92"/>
      <c r="X32" s="92"/>
      <c r="Y32" s="92"/>
      <c r="Z32" s="92"/>
      <c r="AA32" s="92"/>
      <c r="AB32" s="92"/>
      <c r="AC32" s="92"/>
      <c r="AD32" s="92"/>
      <c r="AE32" s="8" t="s">
        <v>19</v>
      </c>
      <c r="AF32" s="92" t="str">
        <f>P20</f>
        <v>Mach di vom Acher</v>
      </c>
      <c r="AG32" s="92"/>
      <c r="AH32" s="92"/>
      <c r="AI32" s="92"/>
      <c r="AJ32" s="92"/>
      <c r="AK32" s="92"/>
      <c r="AL32" s="92"/>
      <c r="AM32" s="92"/>
      <c r="AN32" s="92"/>
      <c r="AO32" s="92"/>
      <c r="AP32" s="92"/>
      <c r="AQ32" s="92"/>
      <c r="AR32" s="92"/>
      <c r="AS32" s="92"/>
      <c r="AT32" s="92"/>
      <c r="AU32" s="92"/>
      <c r="AV32" s="124"/>
      <c r="AW32" s="114"/>
      <c r="AX32" s="122"/>
      <c r="AY32" s="8" t="s">
        <v>18</v>
      </c>
      <c r="AZ32" s="122"/>
      <c r="BA32" s="123"/>
      <c r="BB32" s="114"/>
      <c r="BC32" s="115"/>
      <c r="BD32" s="13"/>
      <c r="BE32" s="46"/>
      <c r="BF32" s="50" t="str">
        <f>#N/A</f>
        <v>0</v>
      </c>
      <c r="BG32" s="50" t="s">
        <v>18</v>
      </c>
      <c r="BH32" s="50" t="str">
        <f>#N/A</f>
        <v>0</v>
      </c>
      <c r="BI32" s="46"/>
      <c r="BJ32" s="46"/>
      <c r="BK32" s="55"/>
      <c r="BL32" s="55"/>
      <c r="BM32" s="34"/>
      <c r="BN32" s="34"/>
      <c r="BO32" s="34"/>
      <c r="BP32" s="34"/>
      <c r="BQ32" s="34"/>
      <c r="BR32" s="34"/>
      <c r="BS32" s="52"/>
      <c r="BT32" s="46"/>
      <c r="BU32" s="46"/>
      <c r="BV32" s="49"/>
      <c r="BW32" s="49"/>
      <c r="BX32" s="49"/>
      <c r="BY32" s="49"/>
      <c r="BZ32" s="49"/>
      <c r="CA32" s="49"/>
      <c r="CB32" s="49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16"/>
      <c r="CN32" s="16"/>
      <c r="CO32" s="16"/>
      <c r="CP32" s="16"/>
      <c r="CQ32" s="16"/>
      <c r="CR32" s="16"/>
      <c r="CS32" s="16"/>
      <c r="CT32" s="16"/>
      <c r="CU32" s="34"/>
      <c r="CV32" s="34"/>
      <c r="CW32" s="34"/>
      <c r="CX32" s="34"/>
      <c r="CY32" s="34"/>
      <c r="CZ32" s="34"/>
      <c r="DA32" s="34"/>
      <c r="DB32" s="34"/>
      <c r="DC32" s="34"/>
      <c r="DD32" s="34"/>
      <c r="DE32" s="34"/>
      <c r="DF32" s="34"/>
      <c r="DG32" s="34"/>
      <c r="DH32" s="34"/>
      <c r="DI32" s="34"/>
      <c r="DJ32" s="34"/>
      <c r="DK32" s="34"/>
      <c r="DL32" s="16"/>
    </row>
    <row r="33" spans="2:116" s="4" customFormat="1" ht="18" customHeight="1" x14ac:dyDescent="0.2">
      <c r="B33" s="93">
        <v>9</v>
      </c>
      <c r="C33" s="94"/>
      <c r="D33" s="94">
        <v>1</v>
      </c>
      <c r="E33" s="94"/>
      <c r="F33" s="94"/>
      <c r="G33" s="94"/>
      <c r="H33" s="94"/>
      <c r="I33" s="94"/>
      <c r="J33" s="74">
        <f>#N/A</f>
        <v>0.70833333333333304</v>
      </c>
      <c r="K33" s="74"/>
      <c r="L33" s="74"/>
      <c r="M33" s="74"/>
      <c r="N33" s="75"/>
      <c r="O33" s="71" t="str">
        <f>P19</f>
        <v>Blasi Hasi</v>
      </c>
      <c r="P33" s="72"/>
      <c r="Q33" s="72"/>
      <c r="R33" s="72"/>
      <c r="S33" s="72"/>
      <c r="T33" s="72"/>
      <c r="U33" s="72"/>
      <c r="V33" s="72"/>
      <c r="W33" s="72"/>
      <c r="X33" s="72"/>
      <c r="Y33" s="72"/>
      <c r="Z33" s="72"/>
      <c r="AA33" s="72"/>
      <c r="AB33" s="72"/>
      <c r="AC33" s="72"/>
      <c r="AD33" s="72"/>
      <c r="AE33" s="12" t="s">
        <v>19</v>
      </c>
      <c r="AF33" s="72" t="str">
        <f>P16</f>
        <v>Oschwand</v>
      </c>
      <c r="AG33" s="72"/>
      <c r="AH33" s="72"/>
      <c r="AI33" s="72"/>
      <c r="AJ33" s="72"/>
      <c r="AK33" s="72"/>
      <c r="AL33" s="72"/>
      <c r="AM33" s="72"/>
      <c r="AN33" s="72"/>
      <c r="AO33" s="72"/>
      <c r="AP33" s="72"/>
      <c r="AQ33" s="72"/>
      <c r="AR33" s="72"/>
      <c r="AS33" s="72"/>
      <c r="AT33" s="72"/>
      <c r="AU33" s="72"/>
      <c r="AV33" s="73"/>
      <c r="AW33" s="116"/>
      <c r="AX33" s="117"/>
      <c r="AY33" s="12" t="s">
        <v>18</v>
      </c>
      <c r="AZ33" s="117"/>
      <c r="BA33" s="126"/>
      <c r="BB33" s="116"/>
      <c r="BC33" s="125"/>
      <c r="BD33" s="13"/>
      <c r="BE33" s="46"/>
      <c r="BF33" s="50" t="str">
        <f>#N/A</f>
        <v>0</v>
      </c>
      <c r="BG33" s="50" t="s">
        <v>18</v>
      </c>
      <c r="BH33" s="50" t="str">
        <f>#N/A</f>
        <v>0</v>
      </c>
      <c r="BI33" s="46"/>
      <c r="BJ33" s="46"/>
      <c r="BK33" s="55"/>
      <c r="BL33" s="55"/>
      <c r="BM33" s="34"/>
      <c r="BN33" s="34"/>
      <c r="BO33" s="34"/>
      <c r="BP33" s="34"/>
      <c r="BQ33" s="34"/>
      <c r="BR33" s="34"/>
      <c r="BS33" s="52"/>
      <c r="BT33" s="46"/>
      <c r="BU33" s="46"/>
      <c r="BV33" s="49"/>
      <c r="BW33" s="49"/>
      <c r="BX33" s="49"/>
      <c r="BY33" s="49"/>
      <c r="BZ33" s="49"/>
      <c r="CA33" s="49"/>
      <c r="CB33" s="49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16"/>
      <c r="CN33" s="16"/>
      <c r="CO33" s="16"/>
      <c r="CP33" s="16"/>
      <c r="CQ33" s="16"/>
      <c r="CR33" s="16"/>
      <c r="CS33" s="16"/>
      <c r="CT33" s="16"/>
      <c r="CU33" s="34"/>
      <c r="CV33" s="34"/>
      <c r="CW33" s="34"/>
      <c r="CX33" s="34"/>
      <c r="CY33" s="34"/>
      <c r="CZ33" s="34"/>
      <c r="DA33" s="34"/>
      <c r="DB33" s="34"/>
      <c r="DC33" s="34"/>
      <c r="DD33" s="34"/>
      <c r="DE33" s="34"/>
      <c r="DF33" s="34"/>
      <c r="DG33" s="34"/>
      <c r="DH33" s="34"/>
      <c r="DI33" s="34"/>
      <c r="DJ33" s="34"/>
      <c r="DK33" s="34"/>
      <c r="DL33" s="16"/>
    </row>
    <row r="34" spans="2:116" s="4" customFormat="1" ht="18" customHeight="1" thickBot="1" x14ac:dyDescent="0.25">
      <c r="B34" s="127">
        <v>10</v>
      </c>
      <c r="C34" s="118"/>
      <c r="D34" s="118">
        <v>1</v>
      </c>
      <c r="E34" s="118"/>
      <c r="F34" s="118"/>
      <c r="G34" s="118"/>
      <c r="H34" s="118"/>
      <c r="I34" s="118"/>
      <c r="J34" s="89">
        <f>#N/A</f>
        <v>0.71874999999999967</v>
      </c>
      <c r="K34" s="89"/>
      <c r="L34" s="89"/>
      <c r="M34" s="89"/>
      <c r="N34" s="90"/>
      <c r="O34" s="91" t="str">
        <f>P20</f>
        <v>Mach di vom Acher</v>
      </c>
      <c r="P34" s="92"/>
      <c r="Q34" s="92"/>
      <c r="R34" s="92"/>
      <c r="S34" s="92"/>
      <c r="T34" s="92"/>
      <c r="U34" s="92"/>
      <c r="V34" s="92"/>
      <c r="W34" s="92"/>
      <c r="X34" s="92"/>
      <c r="Y34" s="92"/>
      <c r="Z34" s="92"/>
      <c r="AA34" s="92"/>
      <c r="AB34" s="92"/>
      <c r="AC34" s="92"/>
      <c r="AD34" s="92"/>
      <c r="AE34" s="8" t="s">
        <v>19</v>
      </c>
      <c r="AF34" s="92" t="str">
        <f>P17</f>
        <v>Bethli</v>
      </c>
      <c r="AG34" s="92"/>
      <c r="AH34" s="92"/>
      <c r="AI34" s="92"/>
      <c r="AJ34" s="92"/>
      <c r="AK34" s="92"/>
      <c r="AL34" s="92"/>
      <c r="AM34" s="92"/>
      <c r="AN34" s="92"/>
      <c r="AO34" s="92"/>
      <c r="AP34" s="92"/>
      <c r="AQ34" s="92"/>
      <c r="AR34" s="92"/>
      <c r="AS34" s="92"/>
      <c r="AT34" s="92"/>
      <c r="AU34" s="92"/>
      <c r="AV34" s="124"/>
      <c r="AW34" s="114"/>
      <c r="AX34" s="122"/>
      <c r="AY34" s="8" t="s">
        <v>18</v>
      </c>
      <c r="AZ34" s="122"/>
      <c r="BA34" s="123"/>
      <c r="BB34" s="114"/>
      <c r="BC34" s="115"/>
      <c r="BD34" s="13"/>
      <c r="BE34" s="46"/>
      <c r="BF34" s="50" t="str">
        <f>#N/A</f>
        <v>0</v>
      </c>
      <c r="BG34" s="50" t="s">
        <v>18</v>
      </c>
      <c r="BH34" s="50" t="str">
        <f>#N/A</f>
        <v>0</v>
      </c>
      <c r="BI34" s="46"/>
      <c r="BJ34" s="46"/>
      <c r="BK34" s="55"/>
      <c r="BL34" s="55"/>
      <c r="BM34" s="34"/>
      <c r="BN34" s="34"/>
      <c r="BO34" s="34"/>
      <c r="BP34" s="34"/>
      <c r="BQ34" s="34"/>
      <c r="BR34" s="34"/>
      <c r="BS34" s="52"/>
      <c r="BT34" s="46"/>
      <c r="BU34" s="46"/>
      <c r="BV34" s="49"/>
      <c r="BW34" s="49"/>
      <c r="BX34" s="49"/>
      <c r="BY34" s="49"/>
      <c r="BZ34" s="49"/>
      <c r="CA34" s="49"/>
      <c r="CB34" s="49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16"/>
      <c r="CN34" s="16"/>
      <c r="CO34" s="16"/>
      <c r="CP34" s="16"/>
      <c r="CQ34" s="16"/>
      <c r="CR34" s="16"/>
      <c r="CS34" s="16"/>
      <c r="CT34" s="16"/>
      <c r="CU34" s="34"/>
      <c r="CV34" s="34"/>
      <c r="CW34" s="34"/>
      <c r="CX34" s="34"/>
      <c r="CY34" s="34"/>
      <c r="CZ34" s="34"/>
      <c r="DA34" s="34"/>
      <c r="DB34" s="34"/>
      <c r="DC34" s="34"/>
      <c r="DD34" s="34"/>
      <c r="DE34" s="34"/>
      <c r="DF34" s="34"/>
      <c r="DG34" s="34"/>
      <c r="DH34" s="34"/>
      <c r="DI34" s="34"/>
      <c r="DJ34" s="34"/>
      <c r="DK34" s="34"/>
      <c r="DL34" s="16"/>
    </row>
    <row r="36" spans="2:116" x14ac:dyDescent="0.2">
      <c r="B36" s="1" t="s">
        <v>29</v>
      </c>
      <c r="BD36" s="14"/>
      <c r="CM36" s="14"/>
      <c r="CN36" s="14"/>
      <c r="CO36" s="14"/>
      <c r="CP36" s="14"/>
      <c r="CQ36" s="14"/>
      <c r="CR36" s="14"/>
      <c r="CS36" s="14"/>
      <c r="CT36" s="14"/>
      <c r="DL36" s="14"/>
    </row>
    <row r="37" spans="2:116" ht="6" customHeight="1" x14ac:dyDescent="0.2">
      <c r="BD37" s="14"/>
      <c r="CM37" s="14"/>
      <c r="CN37" s="14"/>
      <c r="CO37" s="14"/>
      <c r="CP37" s="14"/>
      <c r="CQ37" s="14"/>
      <c r="CR37" s="14"/>
      <c r="CS37" s="14"/>
      <c r="CT37" s="14"/>
      <c r="DL37" s="14"/>
    </row>
    <row r="38" spans="2:116" s="9" customFormat="1" ht="13.5" customHeight="1" thickBot="1" x14ac:dyDescent="0.25">
      <c r="AA38" s="10"/>
      <c r="AB38" s="10"/>
      <c r="AC38" s="10"/>
      <c r="AD38" s="10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E38" s="56"/>
      <c r="BF38" s="56"/>
      <c r="BG38" s="56"/>
      <c r="BH38" s="56"/>
      <c r="BI38" s="56"/>
      <c r="BJ38" s="56"/>
      <c r="BK38" s="56"/>
      <c r="BL38" s="56"/>
      <c r="BM38" s="56"/>
      <c r="BN38" s="56"/>
      <c r="BO38" s="56"/>
      <c r="BP38" s="56"/>
      <c r="BQ38" s="56"/>
      <c r="BR38" s="56"/>
      <c r="BS38" s="56"/>
      <c r="BT38" s="56"/>
      <c r="BU38" s="56"/>
      <c r="BV38" s="57"/>
      <c r="BW38" s="57"/>
      <c r="BX38" s="57"/>
      <c r="BY38" s="57"/>
      <c r="BZ38" s="57"/>
      <c r="CA38" s="57"/>
      <c r="CB38" s="57"/>
      <c r="CC38" s="36"/>
      <c r="CD38" s="36"/>
      <c r="CE38" s="36"/>
      <c r="CF38" s="36"/>
      <c r="CG38" s="36"/>
      <c r="CH38" s="36"/>
      <c r="CI38" s="36"/>
      <c r="CJ38" s="36"/>
      <c r="CK38" s="36"/>
      <c r="CL38" s="36"/>
      <c r="CU38" s="36"/>
      <c r="CV38" s="36"/>
      <c r="CW38" s="36"/>
      <c r="CX38" s="36"/>
      <c r="CY38" s="36"/>
      <c r="CZ38" s="36"/>
      <c r="DA38" s="36"/>
      <c r="DB38" s="36"/>
      <c r="DC38" s="36"/>
      <c r="DD38" s="36"/>
      <c r="DE38" s="36"/>
      <c r="DF38" s="36"/>
      <c r="DG38" s="36"/>
      <c r="DH38" s="36"/>
      <c r="DI38" s="36"/>
      <c r="DJ38" s="36"/>
      <c r="DK38" s="36"/>
    </row>
    <row r="39" spans="2:116" ht="13.5" thickBot="1" x14ac:dyDescent="0.25">
      <c r="I39" s="120" t="s">
        <v>31</v>
      </c>
      <c r="J39" s="121"/>
      <c r="K39" s="121"/>
      <c r="L39" s="121"/>
      <c r="M39" s="121"/>
      <c r="N39" s="121"/>
      <c r="O39" s="121"/>
      <c r="P39" s="121"/>
      <c r="Q39" s="121"/>
      <c r="R39" s="121"/>
      <c r="S39" s="121"/>
      <c r="T39" s="121"/>
      <c r="U39" s="121"/>
      <c r="V39" s="121"/>
      <c r="W39" s="121"/>
      <c r="X39" s="121"/>
      <c r="Y39" s="121"/>
      <c r="Z39" s="121"/>
      <c r="AA39" s="121"/>
      <c r="AB39" s="121"/>
      <c r="AC39" s="121"/>
      <c r="AD39" s="121"/>
      <c r="AE39" s="121"/>
      <c r="AF39" s="121"/>
      <c r="AG39" s="121"/>
      <c r="AH39" s="97" t="s">
        <v>28</v>
      </c>
      <c r="AI39" s="98"/>
      <c r="AJ39" s="98"/>
      <c r="AK39" s="97" t="s">
        <v>21</v>
      </c>
      <c r="AL39" s="98"/>
      <c r="AM39" s="98"/>
      <c r="AN39" s="97" t="s">
        <v>22</v>
      </c>
      <c r="AO39" s="98"/>
      <c r="AP39" s="98"/>
      <c r="AQ39" s="98"/>
      <c r="AR39" s="98"/>
      <c r="AS39" s="97" t="s">
        <v>23</v>
      </c>
      <c r="AT39" s="98"/>
      <c r="AU39" s="119"/>
      <c r="BD39" s="14"/>
      <c r="CM39" s="14"/>
      <c r="CN39" s="14"/>
      <c r="CO39" s="14"/>
      <c r="CP39" s="14"/>
      <c r="CQ39" s="14"/>
      <c r="CR39" s="14"/>
      <c r="CS39" s="14"/>
      <c r="CT39" s="14"/>
      <c r="DL39" s="14"/>
    </row>
    <row r="40" spans="2:116" ht="20.100000000000001" customHeight="1" thickBot="1" x14ac:dyDescent="0.25">
      <c r="I40" s="105" t="s">
        <v>10</v>
      </c>
      <c r="J40" s="100"/>
      <c r="K40" s="110" t="str">
        <f>BM25</f>
        <v>Dream Team</v>
      </c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F40" s="110"/>
      <c r="AG40" s="110"/>
      <c r="AH40" s="101">
        <f>BN25</f>
        <v>0</v>
      </c>
      <c r="AI40" s="100"/>
      <c r="AJ40" s="102"/>
      <c r="AK40" s="100">
        <f>BO25</f>
        <v>0</v>
      </c>
      <c r="AL40" s="100"/>
      <c r="AM40" s="100"/>
      <c r="AN40" s="101">
        <f>BP25</f>
        <v>0</v>
      </c>
      <c r="AO40" s="100"/>
      <c r="AP40" s="39" t="s">
        <v>18</v>
      </c>
      <c r="AQ40" s="100">
        <f>BR25</f>
        <v>0</v>
      </c>
      <c r="AR40" s="102"/>
      <c r="AS40" s="103">
        <f>BS25</f>
        <v>0</v>
      </c>
      <c r="AT40" s="103"/>
      <c r="AU40" s="104"/>
      <c r="BD40" s="14"/>
      <c r="CM40" s="14"/>
      <c r="CN40" s="14"/>
      <c r="CO40" s="14"/>
      <c r="CP40" s="14"/>
      <c r="CQ40" s="14"/>
      <c r="CR40" s="14"/>
      <c r="CS40" s="14"/>
      <c r="CT40" s="14"/>
      <c r="DL40" s="14"/>
    </row>
    <row r="41" spans="2:116" ht="20.100000000000001" customHeight="1" thickBot="1" x14ac:dyDescent="0.25">
      <c r="I41" s="105" t="s">
        <v>11</v>
      </c>
      <c r="J41" s="100"/>
      <c r="K41" s="110" t="str">
        <f>BM26</f>
        <v>Bethli</v>
      </c>
      <c r="L41" s="110"/>
      <c r="M41" s="110"/>
      <c r="N41" s="110"/>
      <c r="O41" s="110"/>
      <c r="P41" s="110"/>
      <c r="Q41" s="110"/>
      <c r="R41" s="110"/>
      <c r="S41" s="110"/>
      <c r="T41" s="110"/>
      <c r="U41" s="110"/>
      <c r="V41" s="110"/>
      <c r="W41" s="110"/>
      <c r="X41" s="110"/>
      <c r="Y41" s="110"/>
      <c r="Z41" s="110"/>
      <c r="AA41" s="110"/>
      <c r="AB41" s="110"/>
      <c r="AC41" s="110"/>
      <c r="AD41" s="110"/>
      <c r="AE41" s="110"/>
      <c r="AF41" s="110"/>
      <c r="AG41" s="110"/>
      <c r="AH41" s="101">
        <f>BN26</f>
        <v>0</v>
      </c>
      <c r="AI41" s="100"/>
      <c r="AJ41" s="102"/>
      <c r="AK41" s="100">
        <f>BO26</f>
        <v>0</v>
      </c>
      <c r="AL41" s="100"/>
      <c r="AM41" s="100"/>
      <c r="AN41" s="101">
        <f>BP26</f>
        <v>0</v>
      </c>
      <c r="AO41" s="100"/>
      <c r="AP41" s="39" t="s">
        <v>18</v>
      </c>
      <c r="AQ41" s="100">
        <f>BR26</f>
        <v>0</v>
      </c>
      <c r="AR41" s="102"/>
      <c r="AS41" s="103">
        <f>BS26</f>
        <v>0</v>
      </c>
      <c r="AT41" s="103"/>
      <c r="AU41" s="104"/>
      <c r="BD41" s="14"/>
      <c r="CM41" s="14"/>
      <c r="CN41" s="14"/>
      <c r="CO41" s="14"/>
      <c r="CP41" s="14"/>
      <c r="CQ41" s="14"/>
      <c r="CR41" s="14"/>
      <c r="CS41" s="14"/>
      <c r="CT41" s="14"/>
      <c r="DL41" s="14"/>
    </row>
    <row r="42" spans="2:116" ht="20.100000000000001" customHeight="1" thickBot="1" x14ac:dyDescent="0.25">
      <c r="I42" s="105" t="s">
        <v>12</v>
      </c>
      <c r="J42" s="100"/>
      <c r="K42" s="110" t="str">
        <f>BM27</f>
        <v>Blasi Hasi</v>
      </c>
      <c r="L42" s="110"/>
      <c r="M42" s="110"/>
      <c r="N42" s="110"/>
      <c r="O42" s="110"/>
      <c r="P42" s="110"/>
      <c r="Q42" s="110"/>
      <c r="R42" s="110"/>
      <c r="S42" s="110"/>
      <c r="T42" s="110"/>
      <c r="U42" s="110"/>
      <c r="V42" s="110"/>
      <c r="W42" s="110"/>
      <c r="X42" s="110"/>
      <c r="Y42" s="110"/>
      <c r="Z42" s="110"/>
      <c r="AA42" s="110"/>
      <c r="AB42" s="110"/>
      <c r="AC42" s="110"/>
      <c r="AD42" s="110"/>
      <c r="AE42" s="110"/>
      <c r="AF42" s="110"/>
      <c r="AG42" s="110"/>
      <c r="AH42" s="101">
        <f>BN27</f>
        <v>0</v>
      </c>
      <c r="AI42" s="100"/>
      <c r="AJ42" s="102"/>
      <c r="AK42" s="100">
        <f>BO27</f>
        <v>0</v>
      </c>
      <c r="AL42" s="100"/>
      <c r="AM42" s="100"/>
      <c r="AN42" s="101">
        <f>BP27</f>
        <v>0</v>
      </c>
      <c r="AO42" s="100"/>
      <c r="AP42" s="39" t="s">
        <v>18</v>
      </c>
      <c r="AQ42" s="100">
        <f>BR27</f>
        <v>0</v>
      </c>
      <c r="AR42" s="102"/>
      <c r="AS42" s="103">
        <f>BS27</f>
        <v>0</v>
      </c>
      <c r="AT42" s="103"/>
      <c r="AU42" s="104"/>
      <c r="BD42" s="14"/>
      <c r="CM42" s="14"/>
      <c r="CN42" s="14"/>
      <c r="CO42" s="14"/>
      <c r="CP42" s="14"/>
      <c r="CQ42" s="14"/>
      <c r="CR42" s="14"/>
      <c r="CS42" s="14"/>
      <c r="CT42" s="14"/>
      <c r="DL42" s="14"/>
    </row>
    <row r="43" spans="2:116" ht="20.100000000000001" customHeight="1" thickBot="1" x14ac:dyDescent="0.25">
      <c r="I43" s="113" t="s">
        <v>13</v>
      </c>
      <c r="J43" s="108"/>
      <c r="K43" s="106" t="str">
        <f>BM28</f>
        <v>Mach di vom Acher</v>
      </c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7">
        <f>BN28</f>
        <v>0</v>
      </c>
      <c r="AI43" s="108"/>
      <c r="AJ43" s="109"/>
      <c r="AK43" s="108">
        <f>BO28</f>
        <v>0</v>
      </c>
      <c r="AL43" s="108"/>
      <c r="AM43" s="108"/>
      <c r="AN43" s="107">
        <f>BP28</f>
        <v>0</v>
      </c>
      <c r="AO43" s="108"/>
      <c r="AP43" s="38" t="s">
        <v>18</v>
      </c>
      <c r="AQ43" s="108">
        <f>BR28</f>
        <v>0</v>
      </c>
      <c r="AR43" s="109"/>
      <c r="AS43" s="111">
        <f>BS28</f>
        <v>0</v>
      </c>
      <c r="AT43" s="111"/>
      <c r="AU43" s="112"/>
      <c r="BD43" s="14"/>
      <c r="CM43" s="14"/>
      <c r="CN43" s="14"/>
      <c r="CO43" s="14"/>
      <c r="CP43" s="14"/>
      <c r="CQ43" s="14"/>
      <c r="CR43" s="14"/>
      <c r="CS43" s="14"/>
      <c r="CT43" s="14"/>
      <c r="DL43" s="14"/>
    </row>
    <row r="44" spans="2:116" ht="20.100000000000001" customHeight="1" thickBot="1" x14ac:dyDescent="0.25">
      <c r="I44" s="105" t="s">
        <v>14</v>
      </c>
      <c r="J44" s="100"/>
      <c r="K44" s="110" t="str">
        <f>BM29</f>
        <v>Oschwand</v>
      </c>
      <c r="L44" s="110"/>
      <c r="M44" s="110"/>
      <c r="N44" s="110"/>
      <c r="O44" s="110"/>
      <c r="P44" s="110"/>
      <c r="Q44" s="110"/>
      <c r="R44" s="110"/>
      <c r="S44" s="110"/>
      <c r="T44" s="110"/>
      <c r="U44" s="110"/>
      <c r="V44" s="110"/>
      <c r="W44" s="110"/>
      <c r="X44" s="110"/>
      <c r="Y44" s="110"/>
      <c r="Z44" s="110"/>
      <c r="AA44" s="110"/>
      <c r="AB44" s="110"/>
      <c r="AC44" s="110"/>
      <c r="AD44" s="110"/>
      <c r="AE44" s="110"/>
      <c r="AF44" s="110"/>
      <c r="AG44" s="110"/>
      <c r="AH44" s="101">
        <f>BN29</f>
        <v>0</v>
      </c>
      <c r="AI44" s="100"/>
      <c r="AJ44" s="102"/>
      <c r="AK44" s="100">
        <f>BO29</f>
        <v>0</v>
      </c>
      <c r="AL44" s="100"/>
      <c r="AM44" s="100"/>
      <c r="AN44" s="101">
        <f>BP29</f>
        <v>0</v>
      </c>
      <c r="AO44" s="100"/>
      <c r="AP44" s="39" t="s">
        <v>18</v>
      </c>
      <c r="AQ44" s="100">
        <f>BR29</f>
        <v>0</v>
      </c>
      <c r="AR44" s="102"/>
      <c r="AS44" s="103">
        <f>BS29</f>
        <v>0</v>
      </c>
      <c r="AT44" s="103"/>
      <c r="AU44" s="104"/>
    </row>
  </sheetData>
  <mergeCells count="164">
    <mergeCell ref="X10:AB10"/>
    <mergeCell ref="H10:L10"/>
    <mergeCell ref="AK18:AL18"/>
    <mergeCell ref="AK19:AL19"/>
    <mergeCell ref="AK16:AL16"/>
    <mergeCell ref="AK17:AL17"/>
    <mergeCell ref="O25:AD25"/>
    <mergeCell ref="AF25:AV25"/>
    <mergeCell ref="BB25:BC25"/>
    <mergeCell ref="AW25:AX25"/>
    <mergeCell ref="AZ25:BA25"/>
    <mergeCell ref="N20:O20"/>
    <mergeCell ref="P16:AJ16"/>
    <mergeCell ref="P17:AJ17"/>
    <mergeCell ref="P18:AJ18"/>
    <mergeCell ref="P19:AJ19"/>
    <mergeCell ref="P20:AJ20"/>
    <mergeCell ref="N16:O16"/>
    <mergeCell ref="N17:O17"/>
    <mergeCell ref="N18:O18"/>
    <mergeCell ref="N19:O19"/>
    <mergeCell ref="AK20:AL20"/>
    <mergeCell ref="BB24:BC24"/>
    <mergeCell ref="AW24:BA24"/>
    <mergeCell ref="BB26:BC26"/>
    <mergeCell ref="B26:C26"/>
    <mergeCell ref="O26:AD26"/>
    <mergeCell ref="AF26:AV26"/>
    <mergeCell ref="J26:N26"/>
    <mergeCell ref="D26:F26"/>
    <mergeCell ref="G26:I26"/>
    <mergeCell ref="B25:C25"/>
    <mergeCell ref="D25:F25"/>
    <mergeCell ref="G25:I25"/>
    <mergeCell ref="J25:N25"/>
    <mergeCell ref="D24:F24"/>
    <mergeCell ref="G24:I24"/>
    <mergeCell ref="O24:AV24"/>
    <mergeCell ref="B31:C31"/>
    <mergeCell ref="B32:C32"/>
    <mergeCell ref="AZ26:BA26"/>
    <mergeCell ref="AW29:AX29"/>
    <mergeCell ref="AZ29:BA29"/>
    <mergeCell ref="O27:AD27"/>
    <mergeCell ref="AF27:AV27"/>
    <mergeCell ref="AW27:AX27"/>
    <mergeCell ref="AZ27:BA27"/>
    <mergeCell ref="J28:N28"/>
    <mergeCell ref="O28:AD28"/>
    <mergeCell ref="J27:N27"/>
    <mergeCell ref="G30:I30"/>
    <mergeCell ref="AW26:AX26"/>
    <mergeCell ref="B34:C34"/>
    <mergeCell ref="B27:C27"/>
    <mergeCell ref="B28:C28"/>
    <mergeCell ref="B29:C29"/>
    <mergeCell ref="B30:C30"/>
    <mergeCell ref="D31:F31"/>
    <mergeCell ref="G31:I31"/>
    <mergeCell ref="D33:F33"/>
    <mergeCell ref="G33:I33"/>
    <mergeCell ref="D32:F32"/>
    <mergeCell ref="G32:I32"/>
    <mergeCell ref="D28:F28"/>
    <mergeCell ref="G28:I28"/>
    <mergeCell ref="D27:F27"/>
    <mergeCell ref="G27:I27"/>
    <mergeCell ref="D29:F29"/>
    <mergeCell ref="G29:I29"/>
    <mergeCell ref="D30:F30"/>
    <mergeCell ref="D34:F34"/>
    <mergeCell ref="AW34:AX34"/>
    <mergeCell ref="AZ34:BA34"/>
    <mergeCell ref="BB34:BC34"/>
    <mergeCell ref="J34:N34"/>
    <mergeCell ref="O34:AD34"/>
    <mergeCell ref="AF34:AV34"/>
    <mergeCell ref="BB27:BC27"/>
    <mergeCell ref="BB28:BC28"/>
    <mergeCell ref="AF28:AV28"/>
    <mergeCell ref="AW28:AX28"/>
    <mergeCell ref="AZ28:BA28"/>
    <mergeCell ref="BB29:BC29"/>
    <mergeCell ref="AF30:AV30"/>
    <mergeCell ref="AW30:AX30"/>
    <mergeCell ref="AW33:AX33"/>
    <mergeCell ref="AZ31:BA31"/>
    <mergeCell ref="BB31:BC31"/>
    <mergeCell ref="AF32:AV32"/>
    <mergeCell ref="AW32:AX32"/>
    <mergeCell ref="AZ32:BA32"/>
    <mergeCell ref="AZ33:BA33"/>
    <mergeCell ref="BB33:BC33"/>
    <mergeCell ref="AZ30:BA30"/>
    <mergeCell ref="BB30:BC30"/>
    <mergeCell ref="BB32:BC32"/>
    <mergeCell ref="AF31:AV31"/>
    <mergeCell ref="AW31:AX31"/>
    <mergeCell ref="AH41:AJ41"/>
    <mergeCell ref="AK41:AM41"/>
    <mergeCell ref="AN41:AO41"/>
    <mergeCell ref="AQ41:AR41"/>
    <mergeCell ref="AS41:AU41"/>
    <mergeCell ref="I41:J41"/>
    <mergeCell ref="K41:AG41"/>
    <mergeCell ref="G34:I34"/>
    <mergeCell ref="AS40:AU40"/>
    <mergeCell ref="I40:J40"/>
    <mergeCell ref="AN39:AR39"/>
    <mergeCell ref="AS39:AU39"/>
    <mergeCell ref="AH40:AJ40"/>
    <mergeCell ref="AK40:AM40"/>
    <mergeCell ref="AN40:AO40"/>
    <mergeCell ref="AQ40:AR40"/>
    <mergeCell ref="K40:AG40"/>
    <mergeCell ref="AH39:AJ39"/>
    <mergeCell ref="I39:AG39"/>
    <mergeCell ref="AK39:AM39"/>
    <mergeCell ref="J33:N33"/>
    <mergeCell ref="AK44:AM44"/>
    <mergeCell ref="AN44:AO44"/>
    <mergeCell ref="AQ44:AR44"/>
    <mergeCell ref="AQ42:AR42"/>
    <mergeCell ref="AS44:AU44"/>
    <mergeCell ref="I44:J44"/>
    <mergeCell ref="K43:AG43"/>
    <mergeCell ref="AH43:AJ43"/>
    <mergeCell ref="AK43:AM43"/>
    <mergeCell ref="AN43:AO43"/>
    <mergeCell ref="K44:AG44"/>
    <mergeCell ref="K42:AG42"/>
    <mergeCell ref="AH44:AJ44"/>
    <mergeCell ref="AH42:AJ42"/>
    <mergeCell ref="AQ43:AR43"/>
    <mergeCell ref="AS43:AU43"/>
    <mergeCell ref="I43:J43"/>
    <mergeCell ref="AS42:AU42"/>
    <mergeCell ref="I42:J42"/>
    <mergeCell ref="AK42:AM42"/>
    <mergeCell ref="AN42:AO42"/>
    <mergeCell ref="O33:AD33"/>
    <mergeCell ref="AF33:AV33"/>
    <mergeCell ref="J29:N29"/>
    <mergeCell ref="O29:AD29"/>
    <mergeCell ref="AF29:AV29"/>
    <mergeCell ref="A2:AP2"/>
    <mergeCell ref="A3:AP3"/>
    <mergeCell ref="A4:AP4"/>
    <mergeCell ref="N15:AJ15"/>
    <mergeCell ref="AL10:AP10"/>
    <mergeCell ref="U10:V10"/>
    <mergeCell ref="AK15:AL15"/>
    <mergeCell ref="M6:T6"/>
    <mergeCell ref="Y6:AF6"/>
    <mergeCell ref="B8:AM8"/>
    <mergeCell ref="J30:N30"/>
    <mergeCell ref="O30:AD30"/>
    <mergeCell ref="J31:N31"/>
    <mergeCell ref="O31:AD31"/>
    <mergeCell ref="J32:N32"/>
    <mergeCell ref="O32:AD32"/>
    <mergeCell ref="B33:C33"/>
    <mergeCell ref="B24:C24"/>
    <mergeCell ref="J24:N24"/>
  </mergeCells>
  <phoneticPr fontId="2" type="noConversion"/>
  <pageMargins left="0.39370078740157483" right="0.39370078740157483" top="0.39370078740157483" bottom="0.39370078740157483" header="0" footer="0"/>
  <pageSetup paperSize="9" orientation="portrait" r:id="rId1"/>
  <headerFooter alignWithMargins="0">
    <oddFooter xml:space="preserve">&amp;C                                  &amp;F&amp;R&amp;P von &amp;N 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DL44"/>
  <sheetViews>
    <sheetView zoomScale="112" zoomScaleNormal="70" workbookViewId="0">
      <selection activeCell="P16" sqref="P16:AJ20"/>
    </sheetView>
  </sheetViews>
  <sheetFormatPr baseColWidth="10" defaultColWidth="1.7109375" defaultRowHeight="12.75" x14ac:dyDescent="0.2"/>
  <cols>
    <col min="1" max="55" width="1.7109375" customWidth="1"/>
    <col min="56" max="56" width="1.7109375" style="7" customWidth="1"/>
    <col min="57" max="57" width="1.7109375" style="40" customWidth="1"/>
    <col min="58" max="58" width="2.85546875" style="40" customWidth="1"/>
    <col min="59" max="59" width="2.140625" style="40" customWidth="1"/>
    <col min="60" max="60" width="2.85546875" style="40" customWidth="1"/>
    <col min="61" max="64" width="1.7109375" style="40" customWidth="1"/>
    <col min="65" max="65" width="3.42578125" style="40" bestFit="1" customWidth="1"/>
    <col min="66" max="66" width="2.28515625" style="40" customWidth="1"/>
    <col min="67" max="68" width="2.140625" style="40" bestFit="1" customWidth="1"/>
    <col min="69" max="69" width="2.28515625" style="40" customWidth="1"/>
    <col min="70" max="70" width="2.5703125" style="40" customWidth="1"/>
    <col min="71" max="71" width="2.140625" style="40" bestFit="1" customWidth="1"/>
    <col min="72" max="73" width="1.7109375" style="40" customWidth="1"/>
    <col min="74" max="80" width="1.7109375" style="41" customWidth="1"/>
    <col min="81" max="90" width="1.7109375" style="31" customWidth="1"/>
    <col min="91" max="98" width="1.7109375" style="7" customWidth="1"/>
    <col min="99" max="115" width="1.7109375" style="31" customWidth="1"/>
    <col min="116" max="116" width="1.7109375" style="7" customWidth="1"/>
  </cols>
  <sheetData>
    <row r="1" spans="1:115" ht="7.5" customHeight="1" x14ac:dyDescent="0.2"/>
    <row r="2" spans="1:115" ht="33" x14ac:dyDescent="0.2">
      <c r="A2" s="76" t="s">
        <v>38</v>
      </c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19"/>
      <c r="AR2" s="20"/>
      <c r="AS2" s="20"/>
      <c r="AT2" s="20"/>
      <c r="AU2" s="20"/>
      <c r="AV2" s="20"/>
      <c r="AW2" s="20"/>
      <c r="AX2" s="20"/>
      <c r="AY2" s="20"/>
      <c r="AZ2" s="20"/>
      <c r="BA2" s="20"/>
      <c r="BB2" s="20"/>
      <c r="BC2" s="21"/>
    </row>
    <row r="3" spans="1:115" s="11" customFormat="1" ht="27" x14ac:dyDescent="0.5">
      <c r="A3" s="77" t="s">
        <v>39</v>
      </c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7"/>
      <c r="AB3" s="77"/>
      <c r="AC3" s="77"/>
      <c r="AD3" s="77"/>
      <c r="AE3" s="77"/>
      <c r="AF3" s="77"/>
      <c r="AG3" s="77"/>
      <c r="AH3" s="77"/>
      <c r="AI3" s="77"/>
      <c r="AJ3" s="77"/>
      <c r="AK3" s="77"/>
      <c r="AL3" s="77"/>
      <c r="AM3" s="77"/>
      <c r="AN3" s="77"/>
      <c r="AO3" s="77"/>
      <c r="AP3" s="77"/>
      <c r="AQ3" s="22"/>
      <c r="AR3" s="23"/>
      <c r="AS3" s="23"/>
      <c r="AT3" s="23" t="s">
        <v>25</v>
      </c>
      <c r="AU3" s="23"/>
      <c r="AV3" s="23"/>
      <c r="AW3" s="23"/>
      <c r="AX3" s="23"/>
      <c r="AY3" s="23"/>
      <c r="AZ3" s="23"/>
      <c r="BA3" s="23"/>
      <c r="BB3" s="23"/>
      <c r="BC3" s="24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3"/>
      <c r="BW3" s="43"/>
      <c r="BX3" s="43"/>
      <c r="BY3" s="43"/>
      <c r="BZ3" s="43"/>
      <c r="CA3" s="43"/>
      <c r="CB3" s="43"/>
      <c r="CC3" s="32"/>
      <c r="CD3" s="32"/>
      <c r="CE3" s="32"/>
      <c r="CF3" s="32"/>
      <c r="CG3" s="32"/>
      <c r="CH3" s="32"/>
      <c r="CI3" s="32"/>
      <c r="CJ3" s="32"/>
      <c r="CK3" s="32"/>
      <c r="CL3" s="32"/>
      <c r="CU3" s="32"/>
      <c r="CV3" s="32"/>
      <c r="CW3" s="32"/>
      <c r="CX3" s="32"/>
      <c r="CY3" s="32"/>
      <c r="CZ3" s="32"/>
      <c r="DA3" s="32"/>
      <c r="DB3" s="32"/>
      <c r="DC3" s="32"/>
      <c r="DD3" s="32"/>
      <c r="DE3" s="32"/>
      <c r="DF3" s="32"/>
      <c r="DG3" s="32"/>
      <c r="DH3" s="32"/>
      <c r="DI3" s="32"/>
      <c r="DJ3" s="32"/>
      <c r="DK3" s="32"/>
    </row>
    <row r="4" spans="1:115" s="2" customFormat="1" ht="15" x14ac:dyDescent="0.2">
      <c r="A4" s="78"/>
      <c r="B4" s="78"/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  <c r="X4" s="78"/>
      <c r="Y4" s="78"/>
      <c r="Z4" s="78"/>
      <c r="AA4" s="78"/>
      <c r="AB4" s="78"/>
      <c r="AC4" s="78"/>
      <c r="AD4" s="78"/>
      <c r="AE4" s="78"/>
      <c r="AF4" s="78"/>
      <c r="AG4" s="78"/>
      <c r="AH4" s="78"/>
      <c r="AI4" s="78"/>
      <c r="AJ4" s="78"/>
      <c r="AK4" s="78"/>
      <c r="AL4" s="78"/>
      <c r="AM4" s="78"/>
      <c r="AN4" s="78"/>
      <c r="AO4" s="78"/>
      <c r="AP4" s="78"/>
      <c r="AQ4" s="25"/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7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  <c r="BU4" s="44"/>
      <c r="BV4" s="45"/>
      <c r="BW4" s="45"/>
      <c r="BX4" s="45"/>
      <c r="BY4" s="45"/>
      <c r="BZ4" s="45"/>
      <c r="CA4" s="45"/>
      <c r="CB4" s="45"/>
      <c r="CC4" s="33"/>
      <c r="CD4" s="33"/>
      <c r="CE4" s="33"/>
      <c r="CF4" s="33"/>
      <c r="CG4" s="33"/>
      <c r="CH4" s="33"/>
      <c r="CI4" s="33"/>
      <c r="CJ4" s="33"/>
      <c r="CK4" s="33"/>
      <c r="CL4" s="33"/>
      <c r="CU4" s="33"/>
      <c r="CV4" s="33"/>
      <c r="CW4" s="33"/>
      <c r="CX4" s="33"/>
      <c r="CY4" s="33"/>
      <c r="CZ4" s="33"/>
      <c r="DA4" s="33"/>
      <c r="DB4" s="33"/>
      <c r="DC4" s="33"/>
      <c r="DD4" s="33"/>
      <c r="DE4" s="33"/>
      <c r="DF4" s="33"/>
      <c r="DG4" s="33"/>
      <c r="DH4" s="33"/>
      <c r="DI4" s="33"/>
      <c r="DJ4" s="33"/>
      <c r="DK4" s="33"/>
    </row>
    <row r="5" spans="1:115" s="2" customFormat="1" ht="6" customHeight="1" x14ac:dyDescent="0.2">
      <c r="AQ5" s="25"/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7"/>
      <c r="BE5" s="44"/>
      <c r="BF5" s="44"/>
      <c r="BG5" s="44"/>
      <c r="BH5" s="44"/>
      <c r="BI5" s="44"/>
      <c r="BJ5" s="44"/>
      <c r="BK5" s="44"/>
      <c r="BL5" s="44"/>
      <c r="BM5" s="44"/>
      <c r="BN5" s="44"/>
      <c r="BO5" s="44"/>
      <c r="BP5" s="44"/>
      <c r="BQ5" s="44"/>
      <c r="BR5" s="44"/>
      <c r="BS5" s="44"/>
      <c r="BT5" s="44"/>
      <c r="BU5" s="44"/>
      <c r="BV5" s="45"/>
      <c r="BW5" s="45"/>
      <c r="BX5" s="45"/>
      <c r="BY5" s="45"/>
      <c r="BZ5" s="45"/>
      <c r="CA5" s="45"/>
      <c r="CB5" s="45"/>
      <c r="CC5" s="33"/>
      <c r="CD5" s="33"/>
      <c r="CE5" s="33"/>
      <c r="CF5" s="33"/>
      <c r="CG5" s="33"/>
      <c r="CH5" s="33"/>
      <c r="CI5" s="33"/>
      <c r="CJ5" s="33"/>
      <c r="CK5" s="33"/>
      <c r="CL5" s="33"/>
      <c r="CU5" s="33"/>
      <c r="CV5" s="33"/>
      <c r="CW5" s="33"/>
      <c r="CX5" s="33"/>
      <c r="CY5" s="33"/>
      <c r="CZ5" s="33"/>
      <c r="DA5" s="33"/>
      <c r="DB5" s="33"/>
      <c r="DC5" s="33"/>
      <c r="DD5" s="33"/>
      <c r="DE5" s="33"/>
      <c r="DF5" s="33"/>
      <c r="DG5" s="33"/>
      <c r="DH5" s="33"/>
      <c r="DI5" s="33"/>
      <c r="DJ5" s="33"/>
      <c r="DK5" s="33"/>
    </row>
    <row r="6" spans="1:115" s="2" customFormat="1" ht="15.75" x14ac:dyDescent="0.25">
      <c r="L6" s="3" t="s">
        <v>0</v>
      </c>
      <c r="M6" s="86" t="s">
        <v>1</v>
      </c>
      <c r="N6" s="86"/>
      <c r="O6" s="86"/>
      <c r="P6" s="86"/>
      <c r="Q6" s="86"/>
      <c r="R6" s="86"/>
      <c r="S6" s="86"/>
      <c r="T6" s="86"/>
      <c r="U6" s="2" t="s">
        <v>2</v>
      </c>
      <c r="Y6" s="87">
        <v>39312</v>
      </c>
      <c r="Z6" s="87"/>
      <c r="AA6" s="87"/>
      <c r="AB6" s="87"/>
      <c r="AC6" s="87"/>
      <c r="AD6" s="87"/>
      <c r="AE6" s="87"/>
      <c r="AF6" s="87"/>
      <c r="AQ6" s="25"/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7"/>
      <c r="BE6" s="44"/>
      <c r="BF6" s="44"/>
      <c r="BG6" s="44"/>
      <c r="BH6" s="44"/>
      <c r="BI6" s="44"/>
      <c r="BJ6" s="44"/>
      <c r="BK6" s="44"/>
      <c r="BL6" s="44"/>
      <c r="BM6" s="44"/>
      <c r="BN6" s="44"/>
      <c r="BO6" s="44"/>
      <c r="BP6" s="44"/>
      <c r="BQ6" s="44"/>
      <c r="BR6" s="44"/>
      <c r="BS6" s="44"/>
      <c r="BT6" s="44"/>
      <c r="BU6" s="44"/>
      <c r="BV6" s="45"/>
      <c r="BW6" s="45"/>
      <c r="BX6" s="45"/>
      <c r="BY6" s="45"/>
      <c r="BZ6" s="45"/>
      <c r="CA6" s="45"/>
      <c r="CB6" s="45"/>
      <c r="CC6" s="33"/>
      <c r="CD6" s="33"/>
      <c r="CE6" s="33"/>
      <c r="CF6" s="33"/>
      <c r="CG6" s="33"/>
      <c r="CH6" s="33"/>
      <c r="CI6" s="33"/>
      <c r="CJ6" s="33"/>
      <c r="CK6" s="33"/>
      <c r="CL6" s="33"/>
      <c r="CU6" s="33"/>
      <c r="CV6" s="33"/>
      <c r="CW6" s="33"/>
      <c r="CX6" s="33"/>
      <c r="CY6" s="33"/>
      <c r="CZ6" s="33"/>
      <c r="DA6" s="33"/>
      <c r="DB6" s="33"/>
      <c r="DC6" s="33"/>
      <c r="DD6" s="33"/>
      <c r="DE6" s="33"/>
      <c r="DF6" s="33"/>
      <c r="DG6" s="33"/>
      <c r="DH6" s="33"/>
      <c r="DI6" s="33"/>
      <c r="DJ6" s="33"/>
      <c r="DK6" s="33"/>
    </row>
    <row r="7" spans="1:115" s="2" customFormat="1" ht="6" customHeight="1" x14ac:dyDescent="0.2">
      <c r="AQ7" s="25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7"/>
      <c r="BE7" s="44"/>
      <c r="BF7" s="44"/>
      <c r="BG7" s="44"/>
      <c r="BH7" s="44"/>
      <c r="BI7" s="44"/>
      <c r="BJ7" s="44"/>
      <c r="BK7" s="44"/>
      <c r="BL7" s="44"/>
      <c r="BM7" s="44"/>
      <c r="BN7" s="44"/>
      <c r="BO7" s="44"/>
      <c r="BP7" s="44"/>
      <c r="BQ7" s="44"/>
      <c r="BR7" s="44"/>
      <c r="BS7" s="44"/>
      <c r="BT7" s="44"/>
      <c r="BU7" s="44"/>
      <c r="BV7" s="45"/>
      <c r="BW7" s="45"/>
      <c r="BX7" s="45"/>
      <c r="BY7" s="45"/>
      <c r="BZ7" s="45"/>
      <c r="CA7" s="45"/>
      <c r="CB7" s="45"/>
      <c r="CC7" s="33"/>
      <c r="CD7" s="33"/>
      <c r="CE7" s="33"/>
      <c r="CF7" s="33"/>
      <c r="CG7" s="33"/>
      <c r="CH7" s="33"/>
      <c r="CI7" s="33"/>
      <c r="CJ7" s="33"/>
      <c r="CK7" s="33"/>
      <c r="CL7" s="33"/>
      <c r="CU7" s="33"/>
      <c r="CV7" s="33"/>
      <c r="CW7" s="33"/>
      <c r="CX7" s="33"/>
      <c r="CY7" s="33"/>
      <c r="CZ7" s="33"/>
      <c r="DA7" s="33"/>
      <c r="DB7" s="33"/>
      <c r="DC7" s="33"/>
      <c r="DD7" s="33"/>
      <c r="DE7" s="33"/>
      <c r="DF7" s="33"/>
      <c r="DG7" s="33"/>
      <c r="DH7" s="33"/>
      <c r="DI7" s="33"/>
      <c r="DJ7" s="33"/>
      <c r="DK7" s="33"/>
    </row>
    <row r="8" spans="1:115" s="2" customFormat="1" ht="15" x14ac:dyDescent="0.2">
      <c r="B8" s="88" t="s">
        <v>40</v>
      </c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Q8" s="28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30"/>
      <c r="BE8" s="44"/>
      <c r="BF8" s="44"/>
      <c r="BG8" s="44"/>
      <c r="BH8" s="44"/>
      <c r="BI8" s="44"/>
      <c r="BJ8" s="44"/>
      <c r="BK8" s="44"/>
      <c r="BL8" s="44"/>
      <c r="BM8" s="44"/>
      <c r="BN8" s="44"/>
      <c r="BO8" s="44"/>
      <c r="BP8" s="44"/>
      <c r="BQ8" s="44"/>
      <c r="BR8" s="44"/>
      <c r="BS8" s="44"/>
      <c r="BT8" s="44"/>
      <c r="BU8" s="44"/>
      <c r="BV8" s="45"/>
      <c r="BW8" s="45"/>
      <c r="BX8" s="45"/>
      <c r="BY8" s="45"/>
      <c r="BZ8" s="45"/>
      <c r="CA8" s="45"/>
      <c r="CB8" s="45"/>
      <c r="CC8" s="33"/>
      <c r="CD8" s="33"/>
      <c r="CE8" s="33"/>
      <c r="CF8" s="33"/>
      <c r="CG8" s="33"/>
      <c r="CH8" s="33"/>
      <c r="CI8" s="33"/>
      <c r="CJ8" s="33"/>
      <c r="CK8" s="33"/>
      <c r="CL8" s="33"/>
      <c r="CU8" s="33"/>
      <c r="CV8" s="33"/>
      <c r="CW8" s="33"/>
      <c r="CX8" s="33"/>
      <c r="CY8" s="33"/>
      <c r="CZ8" s="33"/>
      <c r="DA8" s="33"/>
      <c r="DB8" s="33"/>
      <c r="DC8" s="33"/>
      <c r="DD8" s="33"/>
      <c r="DE8" s="33"/>
      <c r="DF8" s="33"/>
      <c r="DG8" s="33"/>
      <c r="DH8" s="33"/>
      <c r="DI8" s="33"/>
      <c r="DJ8" s="33"/>
      <c r="DK8" s="33"/>
    </row>
    <row r="9" spans="1:115" s="2" customFormat="1" ht="6" customHeight="1" x14ac:dyDescent="0.2">
      <c r="BE9" s="44"/>
      <c r="BF9" s="44"/>
      <c r="BG9" s="44"/>
      <c r="BH9" s="44"/>
      <c r="BI9" s="44"/>
      <c r="BJ9" s="44"/>
      <c r="BK9" s="44"/>
      <c r="BL9" s="44"/>
      <c r="BM9" s="44"/>
      <c r="BN9" s="44"/>
      <c r="BO9" s="44"/>
      <c r="BP9" s="44"/>
      <c r="BQ9" s="44"/>
      <c r="BR9" s="44"/>
      <c r="BS9" s="44"/>
      <c r="BT9" s="44"/>
      <c r="BU9" s="44"/>
      <c r="BV9" s="45"/>
      <c r="BW9" s="45"/>
      <c r="BX9" s="45"/>
      <c r="BY9" s="45"/>
      <c r="BZ9" s="45"/>
      <c r="CA9" s="45"/>
      <c r="CB9" s="45"/>
      <c r="CC9" s="33"/>
      <c r="CD9" s="33"/>
      <c r="CE9" s="33"/>
      <c r="CF9" s="33"/>
      <c r="CG9" s="33"/>
      <c r="CH9" s="33"/>
      <c r="CI9" s="33"/>
      <c r="CJ9" s="33"/>
      <c r="CK9" s="33"/>
      <c r="CL9" s="33"/>
      <c r="CU9" s="33"/>
      <c r="CV9" s="33"/>
      <c r="CW9" s="33"/>
      <c r="CX9" s="33"/>
      <c r="CY9" s="33"/>
      <c r="CZ9" s="33"/>
      <c r="DA9" s="33"/>
      <c r="DB9" s="33"/>
      <c r="DC9" s="33"/>
      <c r="DD9" s="33"/>
      <c r="DE9" s="33"/>
      <c r="DF9" s="33"/>
      <c r="DG9" s="33"/>
      <c r="DH9" s="33"/>
      <c r="DI9" s="33"/>
      <c r="DJ9" s="33"/>
      <c r="DK9" s="33"/>
    </row>
    <row r="10" spans="1:115" s="2" customFormat="1" ht="15.75" x14ac:dyDescent="0.25">
      <c r="G10" s="6" t="s">
        <v>3</v>
      </c>
      <c r="H10" s="130">
        <v>0.625</v>
      </c>
      <c r="I10" s="130"/>
      <c r="J10" s="130"/>
      <c r="K10" s="130"/>
      <c r="L10" s="130"/>
      <c r="M10" s="7" t="s">
        <v>4</v>
      </c>
      <c r="T10" s="6" t="s">
        <v>5</v>
      </c>
      <c r="U10" s="83">
        <v>2</v>
      </c>
      <c r="V10" s="83" t="s">
        <v>6</v>
      </c>
      <c r="W10" s="18" t="s">
        <v>26</v>
      </c>
      <c r="X10" s="82">
        <v>5.208333333333333E-3</v>
      </c>
      <c r="Y10" s="82"/>
      <c r="Z10" s="82"/>
      <c r="AA10" s="82"/>
      <c r="AB10" s="82"/>
      <c r="AC10" s="7" t="s">
        <v>7</v>
      </c>
      <c r="AK10" s="6" t="s">
        <v>8</v>
      </c>
      <c r="AL10" s="82">
        <v>0</v>
      </c>
      <c r="AM10" s="82"/>
      <c r="AN10" s="82"/>
      <c r="AO10" s="82"/>
      <c r="AP10" s="82"/>
      <c r="AQ10" s="7" t="s">
        <v>7</v>
      </c>
      <c r="BE10" s="44"/>
      <c r="BF10" s="44"/>
      <c r="BG10" s="44"/>
      <c r="BH10" s="44"/>
      <c r="BI10" s="44"/>
      <c r="BJ10" s="44"/>
      <c r="BK10" s="44"/>
      <c r="BL10" s="44"/>
      <c r="BM10" s="44"/>
      <c r="BN10" s="44"/>
      <c r="BO10" s="44"/>
      <c r="BP10" s="44"/>
      <c r="BQ10" s="44"/>
      <c r="BR10" s="44"/>
      <c r="BS10" s="44"/>
      <c r="BT10" s="44"/>
      <c r="BU10" s="44"/>
      <c r="BV10" s="45"/>
      <c r="BW10" s="45"/>
      <c r="BX10" s="45"/>
      <c r="BY10" s="45"/>
      <c r="BZ10" s="45"/>
      <c r="CA10" s="45"/>
      <c r="CB10" s="45"/>
      <c r="CC10" s="33"/>
      <c r="CD10" s="33"/>
      <c r="CE10" s="33"/>
      <c r="CF10" s="33"/>
      <c r="CG10" s="33"/>
      <c r="CH10" s="33"/>
      <c r="CI10" s="33"/>
      <c r="CJ10" s="33"/>
      <c r="CK10" s="33"/>
      <c r="CL10" s="33"/>
      <c r="CU10" s="33"/>
      <c r="CV10" s="33"/>
      <c r="CW10" s="33"/>
      <c r="CX10" s="33"/>
      <c r="CY10" s="33"/>
      <c r="CZ10" s="33"/>
      <c r="DA10" s="33"/>
      <c r="DB10" s="33"/>
      <c r="DC10" s="33"/>
      <c r="DD10" s="33"/>
      <c r="DE10" s="33"/>
      <c r="DF10" s="33"/>
      <c r="DG10" s="33"/>
      <c r="DH10" s="33"/>
      <c r="DI10" s="33"/>
      <c r="DJ10" s="33"/>
      <c r="DK10" s="33"/>
    </row>
    <row r="11" spans="1:115" ht="9" customHeight="1" x14ac:dyDescent="0.2"/>
    <row r="12" spans="1:115" ht="6" customHeight="1" x14ac:dyDescent="0.2"/>
    <row r="13" spans="1:115" x14ac:dyDescent="0.2">
      <c r="B13" s="1" t="s">
        <v>9</v>
      </c>
    </row>
    <row r="14" spans="1:115" ht="6" customHeight="1" thickBot="1" x14ac:dyDescent="0.25"/>
    <row r="15" spans="1:115" ht="16.5" thickBot="1" x14ac:dyDescent="0.3">
      <c r="N15" s="79" t="s">
        <v>30</v>
      </c>
      <c r="O15" s="80"/>
      <c r="P15" s="80"/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  <c r="AD15" s="80"/>
      <c r="AE15" s="80"/>
      <c r="AF15" s="80"/>
      <c r="AG15" s="80"/>
      <c r="AH15" s="80"/>
      <c r="AI15" s="80"/>
      <c r="AJ15" s="81"/>
      <c r="AK15" s="84"/>
      <c r="AL15" s="85"/>
    </row>
    <row r="16" spans="1:115" ht="15" x14ac:dyDescent="0.2">
      <c r="N16" s="143" t="s">
        <v>10</v>
      </c>
      <c r="O16" s="144"/>
      <c r="P16" s="151" t="s">
        <v>47</v>
      </c>
      <c r="Q16" s="137"/>
      <c r="R16" s="137"/>
      <c r="S16" s="137"/>
      <c r="T16" s="137"/>
      <c r="U16" s="137"/>
      <c r="V16" s="137"/>
      <c r="W16" s="137"/>
      <c r="X16" s="137"/>
      <c r="Y16" s="137"/>
      <c r="Z16" s="137"/>
      <c r="AA16" s="137"/>
      <c r="AB16" s="137"/>
      <c r="AC16" s="137"/>
      <c r="AD16" s="137"/>
      <c r="AE16" s="137"/>
      <c r="AF16" s="137"/>
      <c r="AG16" s="137"/>
      <c r="AH16" s="137"/>
      <c r="AI16" s="137"/>
      <c r="AJ16" s="138"/>
      <c r="AK16" s="133"/>
      <c r="AL16" s="134"/>
    </row>
    <row r="17" spans="2:116" ht="15" x14ac:dyDescent="0.2">
      <c r="N17" s="145" t="s">
        <v>11</v>
      </c>
      <c r="O17" s="146"/>
      <c r="P17" s="152" t="s">
        <v>48</v>
      </c>
      <c r="Q17" s="139"/>
      <c r="R17" s="139"/>
      <c r="S17" s="139"/>
      <c r="T17" s="139"/>
      <c r="U17" s="139"/>
      <c r="V17" s="139"/>
      <c r="W17" s="139"/>
      <c r="X17" s="139"/>
      <c r="Y17" s="139"/>
      <c r="Z17" s="139"/>
      <c r="AA17" s="139"/>
      <c r="AB17" s="139"/>
      <c r="AC17" s="139"/>
      <c r="AD17" s="139"/>
      <c r="AE17" s="139"/>
      <c r="AF17" s="139"/>
      <c r="AG17" s="139"/>
      <c r="AH17" s="139"/>
      <c r="AI17" s="139"/>
      <c r="AJ17" s="140"/>
      <c r="AK17" s="131"/>
      <c r="AL17" s="132"/>
    </row>
    <row r="18" spans="2:116" ht="15" x14ac:dyDescent="0.2">
      <c r="N18" s="145" t="s">
        <v>12</v>
      </c>
      <c r="O18" s="146"/>
      <c r="P18" s="152" t="s">
        <v>49</v>
      </c>
      <c r="Q18" s="139"/>
      <c r="R18" s="139"/>
      <c r="S18" s="139"/>
      <c r="T18" s="139"/>
      <c r="U18" s="139"/>
      <c r="V18" s="139"/>
      <c r="W18" s="139"/>
      <c r="X18" s="139"/>
      <c r="Y18" s="139"/>
      <c r="Z18" s="139"/>
      <c r="AA18" s="139"/>
      <c r="AB18" s="139"/>
      <c r="AC18" s="139"/>
      <c r="AD18" s="139"/>
      <c r="AE18" s="139"/>
      <c r="AF18" s="139"/>
      <c r="AG18" s="139"/>
      <c r="AH18" s="139"/>
      <c r="AI18" s="139"/>
      <c r="AJ18" s="140"/>
      <c r="AK18" s="131"/>
      <c r="AL18" s="132"/>
    </row>
    <row r="19" spans="2:116" ht="15" x14ac:dyDescent="0.2">
      <c r="N19" s="145" t="s">
        <v>13</v>
      </c>
      <c r="O19" s="146"/>
      <c r="P19" s="152" t="s">
        <v>50</v>
      </c>
      <c r="Q19" s="139"/>
      <c r="R19" s="139"/>
      <c r="S19" s="139"/>
      <c r="T19" s="139"/>
      <c r="U19" s="139"/>
      <c r="V19" s="139"/>
      <c r="W19" s="139"/>
      <c r="X19" s="139"/>
      <c r="Y19" s="139"/>
      <c r="Z19" s="139"/>
      <c r="AA19" s="139"/>
      <c r="AB19" s="139"/>
      <c r="AC19" s="139"/>
      <c r="AD19" s="139"/>
      <c r="AE19" s="139"/>
      <c r="AF19" s="139"/>
      <c r="AG19" s="139"/>
      <c r="AH19" s="139"/>
      <c r="AI19" s="139"/>
      <c r="AJ19" s="140"/>
      <c r="AK19" s="131"/>
      <c r="AL19" s="132"/>
    </row>
    <row r="20" spans="2:116" ht="15.75" thickBot="1" x14ac:dyDescent="0.25">
      <c r="N20" s="135" t="s">
        <v>14</v>
      </c>
      <c r="O20" s="136"/>
      <c r="P20" s="153" t="s">
        <v>51</v>
      </c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41"/>
      <c r="AC20" s="141"/>
      <c r="AD20" s="141"/>
      <c r="AE20" s="141"/>
      <c r="AF20" s="141"/>
      <c r="AG20" s="141"/>
      <c r="AH20" s="141"/>
      <c r="AI20" s="141"/>
      <c r="AJ20" s="142"/>
      <c r="AK20" s="147"/>
      <c r="AL20" s="148"/>
    </row>
    <row r="22" spans="2:116" x14ac:dyDescent="0.2">
      <c r="B22" s="1" t="s">
        <v>32</v>
      </c>
    </row>
    <row r="23" spans="2:116" ht="6" customHeight="1" thickBot="1" x14ac:dyDescent="0.25"/>
    <row r="24" spans="2:116" s="4" customFormat="1" ht="16.5" customHeight="1" thickBot="1" x14ac:dyDescent="0.25">
      <c r="B24" s="95" t="s">
        <v>15</v>
      </c>
      <c r="C24" s="96"/>
      <c r="D24" s="97" t="s">
        <v>27</v>
      </c>
      <c r="E24" s="98"/>
      <c r="F24" s="99"/>
      <c r="G24" s="97"/>
      <c r="H24" s="98"/>
      <c r="I24" s="99"/>
      <c r="J24" s="97" t="s">
        <v>16</v>
      </c>
      <c r="K24" s="98"/>
      <c r="L24" s="98"/>
      <c r="M24" s="98"/>
      <c r="N24" s="99"/>
      <c r="O24" s="97" t="s">
        <v>17</v>
      </c>
      <c r="P24" s="98"/>
      <c r="Q24" s="98"/>
      <c r="R24" s="98"/>
      <c r="S24" s="98"/>
      <c r="T24" s="98"/>
      <c r="U24" s="98"/>
      <c r="V24" s="98"/>
      <c r="W24" s="98"/>
      <c r="X24" s="98"/>
      <c r="Y24" s="98"/>
      <c r="Z24" s="98"/>
      <c r="AA24" s="98"/>
      <c r="AB24" s="98"/>
      <c r="AC24" s="98"/>
      <c r="AD24" s="98"/>
      <c r="AE24" s="98"/>
      <c r="AF24" s="98"/>
      <c r="AG24" s="98"/>
      <c r="AH24" s="98"/>
      <c r="AI24" s="98"/>
      <c r="AJ24" s="98"/>
      <c r="AK24" s="98"/>
      <c r="AL24" s="98"/>
      <c r="AM24" s="98"/>
      <c r="AN24" s="98"/>
      <c r="AO24" s="98"/>
      <c r="AP24" s="98"/>
      <c r="AQ24" s="98"/>
      <c r="AR24" s="98"/>
      <c r="AS24" s="98"/>
      <c r="AT24" s="98"/>
      <c r="AU24" s="98"/>
      <c r="AV24" s="99"/>
      <c r="AW24" s="97" t="s">
        <v>20</v>
      </c>
      <c r="AX24" s="98"/>
      <c r="AY24" s="98"/>
      <c r="AZ24" s="98"/>
      <c r="BA24" s="99"/>
      <c r="BB24" s="149"/>
      <c r="BC24" s="150"/>
      <c r="BD24" s="58"/>
      <c r="BE24" s="46"/>
      <c r="BF24" s="47" t="s">
        <v>24</v>
      </c>
      <c r="BG24" s="48"/>
      <c r="BH24" s="48"/>
      <c r="BI24" s="46"/>
      <c r="BJ24" s="46"/>
      <c r="BK24" s="46"/>
      <c r="BL24" s="46"/>
      <c r="BM24" s="46"/>
      <c r="BN24" s="46"/>
      <c r="BO24" s="46"/>
      <c r="BP24" s="46"/>
      <c r="BQ24" s="46"/>
      <c r="BR24" s="46"/>
      <c r="BS24" s="46"/>
      <c r="BT24" s="46"/>
      <c r="BU24" s="46"/>
      <c r="BV24" s="49"/>
      <c r="BW24" s="49"/>
      <c r="BX24" s="49"/>
      <c r="BY24" s="49"/>
      <c r="BZ24" s="49"/>
      <c r="CA24" s="49"/>
      <c r="CB24" s="49"/>
      <c r="CC24" s="34"/>
      <c r="CD24" s="34"/>
      <c r="CE24" s="34"/>
      <c r="CF24" s="34"/>
      <c r="CG24" s="34"/>
      <c r="CH24" s="34"/>
      <c r="CI24" s="34"/>
      <c r="CJ24" s="34"/>
      <c r="CK24" s="34"/>
      <c r="CL24" s="34"/>
      <c r="CM24" s="58"/>
      <c r="CN24" s="58"/>
      <c r="CO24" s="58"/>
      <c r="CP24" s="58"/>
      <c r="CQ24" s="58"/>
      <c r="CR24" s="58"/>
      <c r="CS24" s="58"/>
      <c r="CT24" s="58"/>
      <c r="CU24" s="34"/>
      <c r="CV24" s="34"/>
      <c r="CW24" s="34"/>
      <c r="CX24" s="34"/>
      <c r="CY24" s="34"/>
      <c r="CZ24" s="34"/>
      <c r="DA24" s="34"/>
      <c r="DB24" s="34"/>
      <c r="DC24" s="34"/>
      <c r="DD24" s="34"/>
      <c r="DE24" s="34"/>
      <c r="DF24" s="34"/>
      <c r="DG24" s="34"/>
      <c r="DH24" s="34"/>
      <c r="DI24" s="34"/>
      <c r="DJ24" s="34"/>
      <c r="DK24" s="34"/>
      <c r="DL24" s="58"/>
    </row>
    <row r="25" spans="2:116" s="5" customFormat="1" ht="18" customHeight="1" x14ac:dyDescent="0.2">
      <c r="B25" s="93">
        <v>1</v>
      </c>
      <c r="C25" s="94"/>
      <c r="D25" s="94">
        <v>1</v>
      </c>
      <c r="E25" s="94"/>
      <c r="F25" s="94"/>
      <c r="G25" s="94"/>
      <c r="H25" s="94"/>
      <c r="I25" s="94"/>
      <c r="J25" s="128">
        <f>$H$10</f>
        <v>0.625</v>
      </c>
      <c r="K25" s="128"/>
      <c r="L25" s="128"/>
      <c r="M25" s="128"/>
      <c r="N25" s="129"/>
      <c r="O25" s="71" t="str">
        <f>P16</f>
        <v>Blaba</v>
      </c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  <c r="AA25" s="72"/>
      <c r="AB25" s="72"/>
      <c r="AC25" s="72"/>
      <c r="AD25" s="72"/>
      <c r="AE25" s="12" t="s">
        <v>19</v>
      </c>
      <c r="AF25" s="72" t="str">
        <f>P17</f>
        <v>Blubu</v>
      </c>
      <c r="AG25" s="72"/>
      <c r="AH25" s="72"/>
      <c r="AI25" s="72"/>
      <c r="AJ25" s="72"/>
      <c r="AK25" s="72"/>
      <c r="AL25" s="72"/>
      <c r="AM25" s="72"/>
      <c r="AN25" s="72"/>
      <c r="AO25" s="72"/>
      <c r="AP25" s="72"/>
      <c r="AQ25" s="72"/>
      <c r="AR25" s="72"/>
      <c r="AS25" s="72"/>
      <c r="AT25" s="72"/>
      <c r="AU25" s="72"/>
      <c r="AV25" s="73"/>
      <c r="AW25" s="116">
        <v>1</v>
      </c>
      <c r="AX25" s="117"/>
      <c r="AY25" s="12" t="s">
        <v>18</v>
      </c>
      <c r="AZ25" s="117">
        <v>1</v>
      </c>
      <c r="BA25" s="126"/>
      <c r="BB25" s="116"/>
      <c r="BC25" s="125"/>
      <c r="BE25" s="46"/>
      <c r="BF25" s="50">
        <f>#N/A</f>
        <v>1</v>
      </c>
      <c r="BG25" s="50" t="s">
        <v>18</v>
      </c>
      <c r="BH25" s="50">
        <f>#N/A</f>
        <v>1</v>
      </c>
      <c r="BI25" s="46"/>
      <c r="BJ25" s="46"/>
      <c r="BK25" s="46"/>
      <c r="BL25" s="46"/>
      <c r="BM25" s="54" t="str">
        <f>$P$18</f>
        <v>Blibli</v>
      </c>
      <c r="BN25" s="52">
        <f>COUNT($BF$26,$BH$28,$BH$30,$BF$32)</f>
        <v>4</v>
      </c>
      <c r="BO25" s="52">
        <f>SUM($BF$26+$BH$28+$BH$30+$BF$32)</f>
        <v>10</v>
      </c>
      <c r="BP25" s="52">
        <f>SUM($AW$26+$AZ$28+$AZ$30+$AW$32)</f>
        <v>7</v>
      </c>
      <c r="BQ25" s="53" t="s">
        <v>18</v>
      </c>
      <c r="BR25" s="52">
        <f>SUM($AZ$26+$AW$28+$AW$30+$AZ$32)</f>
        <v>3</v>
      </c>
      <c r="BS25" s="52">
        <f>SUM(BP25-BR25)</f>
        <v>4</v>
      </c>
      <c r="BT25" s="46"/>
      <c r="BU25" s="46"/>
      <c r="BV25" s="49"/>
      <c r="BW25" s="49"/>
      <c r="BX25" s="49"/>
      <c r="BY25" s="49"/>
      <c r="BZ25" s="49"/>
      <c r="CA25" s="49"/>
      <c r="CB25" s="49"/>
      <c r="CC25" s="35"/>
      <c r="CD25" s="35"/>
      <c r="CE25" s="35"/>
      <c r="CF25" s="35"/>
      <c r="CG25" s="35"/>
      <c r="CH25" s="35"/>
      <c r="CI25" s="35"/>
      <c r="CJ25" s="35"/>
      <c r="CK25" s="35"/>
      <c r="CL25" s="35"/>
      <c r="CU25" s="35"/>
      <c r="CV25" s="35"/>
      <c r="CW25" s="35"/>
      <c r="CX25" s="35"/>
      <c r="CY25" s="35"/>
      <c r="CZ25" s="35"/>
      <c r="DA25" s="35"/>
      <c r="DB25" s="35"/>
      <c r="DC25" s="35"/>
      <c r="DD25" s="35"/>
      <c r="DE25" s="35"/>
      <c r="DF25" s="35"/>
      <c r="DG25" s="35"/>
      <c r="DH25" s="35"/>
      <c r="DI25" s="35"/>
      <c r="DJ25" s="35"/>
      <c r="DK25" s="35"/>
    </row>
    <row r="26" spans="2:116" s="4" customFormat="1" ht="18" customHeight="1" thickBot="1" x14ac:dyDescent="0.25">
      <c r="B26" s="127">
        <v>2</v>
      </c>
      <c r="C26" s="118"/>
      <c r="D26" s="118">
        <v>1</v>
      </c>
      <c r="E26" s="118"/>
      <c r="F26" s="118"/>
      <c r="G26" s="118"/>
      <c r="H26" s="118"/>
      <c r="I26" s="118"/>
      <c r="J26" s="89">
        <f>#N/A</f>
        <v>0.63541666666666663</v>
      </c>
      <c r="K26" s="89"/>
      <c r="L26" s="89"/>
      <c r="M26" s="89"/>
      <c r="N26" s="90"/>
      <c r="O26" s="91" t="str">
        <f>P18</f>
        <v>Blibli</v>
      </c>
      <c r="P26" s="92"/>
      <c r="Q26" s="92"/>
      <c r="R26" s="92"/>
      <c r="S26" s="92"/>
      <c r="T26" s="92"/>
      <c r="U26" s="92"/>
      <c r="V26" s="92"/>
      <c r="W26" s="92"/>
      <c r="X26" s="92"/>
      <c r="Y26" s="92"/>
      <c r="Z26" s="92"/>
      <c r="AA26" s="92"/>
      <c r="AB26" s="92"/>
      <c r="AC26" s="92"/>
      <c r="AD26" s="92"/>
      <c r="AE26" s="8" t="s">
        <v>19</v>
      </c>
      <c r="AF26" s="92" t="str">
        <f>P19</f>
        <v>Bleble</v>
      </c>
      <c r="AG26" s="92"/>
      <c r="AH26" s="92"/>
      <c r="AI26" s="92"/>
      <c r="AJ26" s="92"/>
      <c r="AK26" s="92"/>
      <c r="AL26" s="92"/>
      <c r="AM26" s="92"/>
      <c r="AN26" s="92"/>
      <c r="AO26" s="92"/>
      <c r="AP26" s="92"/>
      <c r="AQ26" s="92"/>
      <c r="AR26" s="92"/>
      <c r="AS26" s="92"/>
      <c r="AT26" s="92"/>
      <c r="AU26" s="92"/>
      <c r="AV26" s="124"/>
      <c r="AW26" s="114">
        <v>2</v>
      </c>
      <c r="AX26" s="122"/>
      <c r="AY26" s="8" t="s">
        <v>18</v>
      </c>
      <c r="AZ26" s="122">
        <v>1</v>
      </c>
      <c r="BA26" s="123"/>
      <c r="BB26" s="114"/>
      <c r="BC26" s="115"/>
      <c r="BD26" s="58"/>
      <c r="BE26" s="46"/>
      <c r="BF26" s="50">
        <f>#N/A</f>
        <v>3</v>
      </c>
      <c r="BG26" s="50" t="s">
        <v>18</v>
      </c>
      <c r="BH26" s="50">
        <f>#N/A</f>
        <v>0</v>
      </c>
      <c r="BI26" s="46"/>
      <c r="BJ26" s="46"/>
      <c r="BK26" s="46"/>
      <c r="BL26" s="46"/>
      <c r="BM26" s="54" t="str">
        <f>$P$17</f>
        <v>Blubu</v>
      </c>
      <c r="BN26" s="52">
        <f>COUNT($BH$25,$BF$28,$BF$31,$BH$34)</f>
        <v>4</v>
      </c>
      <c r="BO26" s="52">
        <f>SUM($BH$25+$BF$28+$BF$31+$BH$34)</f>
        <v>5</v>
      </c>
      <c r="BP26" s="52">
        <f>SUM($AZ$25+$AW$28+$AW$31+$AZ$34)</f>
        <v>8</v>
      </c>
      <c r="BQ26" s="53" t="s">
        <v>18</v>
      </c>
      <c r="BR26" s="52">
        <f>SUM($AW$25+$AZ$28+$AZ$31+$AW$34)</f>
        <v>7</v>
      </c>
      <c r="BS26" s="52">
        <f>SUM(BP26-BR26)</f>
        <v>1</v>
      </c>
      <c r="BT26" s="46"/>
      <c r="BU26" s="46"/>
      <c r="BV26" s="49"/>
      <c r="BW26" s="49"/>
      <c r="BX26" s="49"/>
      <c r="BY26" s="49"/>
      <c r="BZ26" s="49"/>
      <c r="CA26" s="49"/>
      <c r="CB26" s="49"/>
      <c r="CC26" s="34"/>
      <c r="CD26" s="34"/>
      <c r="CE26" s="34"/>
      <c r="CF26" s="34"/>
      <c r="CG26" s="34"/>
      <c r="CH26" s="34"/>
      <c r="CI26" s="34"/>
      <c r="CJ26" s="34"/>
      <c r="CK26" s="34"/>
      <c r="CL26" s="34"/>
      <c r="CM26" s="58"/>
      <c r="CN26" s="58"/>
      <c r="CO26" s="58"/>
      <c r="CP26" s="58"/>
      <c r="CQ26" s="58"/>
      <c r="CR26" s="58"/>
      <c r="CS26" s="58"/>
      <c r="CT26" s="58"/>
      <c r="CU26" s="34"/>
      <c r="CV26" s="34"/>
      <c r="CW26" s="34"/>
      <c r="CX26" s="34"/>
      <c r="CY26" s="34"/>
      <c r="CZ26" s="34"/>
      <c r="DA26" s="34"/>
      <c r="DB26" s="34"/>
      <c r="DC26" s="34"/>
      <c r="DD26" s="34"/>
      <c r="DE26" s="34"/>
      <c r="DF26" s="34"/>
      <c r="DG26" s="34"/>
      <c r="DH26" s="34"/>
      <c r="DI26" s="34"/>
      <c r="DJ26" s="34"/>
      <c r="DK26" s="34"/>
      <c r="DL26" s="58"/>
    </row>
    <row r="27" spans="2:116" s="4" customFormat="1" ht="18" customHeight="1" x14ac:dyDescent="0.2">
      <c r="B27" s="93">
        <v>3</v>
      </c>
      <c r="C27" s="94"/>
      <c r="D27" s="94">
        <v>1</v>
      </c>
      <c r="E27" s="94"/>
      <c r="F27" s="94"/>
      <c r="G27" s="94"/>
      <c r="H27" s="94"/>
      <c r="I27" s="94"/>
      <c r="J27" s="74">
        <f>#N/A</f>
        <v>0.64583333333333326</v>
      </c>
      <c r="K27" s="74"/>
      <c r="L27" s="74"/>
      <c r="M27" s="74"/>
      <c r="N27" s="75"/>
      <c r="O27" s="71" t="str">
        <f>P20</f>
        <v>Bloblo</v>
      </c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  <c r="AA27" s="72"/>
      <c r="AB27" s="72"/>
      <c r="AC27" s="72"/>
      <c r="AD27" s="72"/>
      <c r="AE27" s="12" t="s">
        <v>19</v>
      </c>
      <c r="AF27" s="72" t="str">
        <f>P16</f>
        <v>Blaba</v>
      </c>
      <c r="AG27" s="72"/>
      <c r="AH27" s="72"/>
      <c r="AI27" s="72"/>
      <c r="AJ27" s="72"/>
      <c r="AK27" s="72"/>
      <c r="AL27" s="72"/>
      <c r="AM27" s="72"/>
      <c r="AN27" s="72"/>
      <c r="AO27" s="72"/>
      <c r="AP27" s="72"/>
      <c r="AQ27" s="72"/>
      <c r="AR27" s="72"/>
      <c r="AS27" s="72"/>
      <c r="AT27" s="72"/>
      <c r="AU27" s="72"/>
      <c r="AV27" s="73"/>
      <c r="AW27" s="116">
        <v>2</v>
      </c>
      <c r="AX27" s="117"/>
      <c r="AY27" s="12" t="s">
        <v>18</v>
      </c>
      <c r="AZ27" s="117">
        <v>0</v>
      </c>
      <c r="BA27" s="126"/>
      <c r="BB27" s="116"/>
      <c r="BC27" s="125"/>
      <c r="BD27" s="58"/>
      <c r="BE27" s="46"/>
      <c r="BF27" s="50">
        <f>#N/A</f>
        <v>3</v>
      </c>
      <c r="BG27" s="50" t="s">
        <v>18</v>
      </c>
      <c r="BH27" s="50">
        <f>#N/A</f>
        <v>0</v>
      </c>
      <c r="BI27" s="46"/>
      <c r="BJ27" s="46"/>
      <c r="BK27" s="46"/>
      <c r="BL27" s="46"/>
      <c r="BM27" s="54" t="str">
        <f>$P$19</f>
        <v>Bleble</v>
      </c>
      <c r="BN27" s="52">
        <f>COUNT($BH$26,$BF$29,$BH$31,$BF$33)</f>
        <v>4</v>
      </c>
      <c r="BO27" s="52">
        <f>SUM($BH$26+$BF$29+$BH$31+$BF$33)</f>
        <v>5</v>
      </c>
      <c r="BP27" s="52">
        <f>SUM($AZ$26+$AW$29+$AZ$31+$AW$33)</f>
        <v>7</v>
      </c>
      <c r="BQ27" s="53" t="s">
        <v>18</v>
      </c>
      <c r="BR27" s="52">
        <f>SUM($AW$26+$AZ$29+$AW$31+$AZ$33)</f>
        <v>7</v>
      </c>
      <c r="BS27" s="52">
        <f>SUM(BP27-BR27)</f>
        <v>0</v>
      </c>
      <c r="BT27" s="46"/>
      <c r="BU27" s="46"/>
      <c r="BV27" s="49"/>
      <c r="BW27" s="49"/>
      <c r="BX27" s="49"/>
      <c r="BY27" s="49"/>
      <c r="BZ27" s="49"/>
      <c r="CA27" s="49"/>
      <c r="CB27" s="49"/>
      <c r="CC27" s="34"/>
      <c r="CD27" s="34"/>
      <c r="CE27" s="34"/>
      <c r="CF27" s="34"/>
      <c r="CG27" s="34"/>
      <c r="CH27" s="34"/>
      <c r="CI27" s="34"/>
      <c r="CJ27" s="34"/>
      <c r="CK27" s="34"/>
      <c r="CL27" s="34"/>
      <c r="CM27" s="58"/>
      <c r="CN27" s="58"/>
      <c r="CO27" s="58"/>
      <c r="CP27" s="58"/>
      <c r="CQ27" s="58"/>
      <c r="CR27" s="58"/>
      <c r="CS27" s="58"/>
      <c r="CT27" s="58"/>
      <c r="CU27" s="34"/>
      <c r="CV27" s="34"/>
      <c r="CW27" s="34"/>
      <c r="CX27" s="34"/>
      <c r="CY27" s="34"/>
      <c r="CZ27" s="34"/>
      <c r="DA27" s="34"/>
      <c r="DB27" s="34"/>
      <c r="DC27" s="34"/>
      <c r="DD27" s="34"/>
      <c r="DE27" s="34"/>
      <c r="DF27" s="34"/>
      <c r="DG27" s="34"/>
      <c r="DH27" s="34"/>
      <c r="DI27" s="34"/>
      <c r="DJ27" s="34"/>
      <c r="DK27" s="34"/>
      <c r="DL27" s="58"/>
    </row>
    <row r="28" spans="2:116" s="4" customFormat="1" ht="18" customHeight="1" thickBot="1" x14ac:dyDescent="0.25">
      <c r="B28" s="127">
        <v>4</v>
      </c>
      <c r="C28" s="118"/>
      <c r="D28" s="118">
        <v>1</v>
      </c>
      <c r="E28" s="118"/>
      <c r="F28" s="118"/>
      <c r="G28" s="118"/>
      <c r="H28" s="118"/>
      <c r="I28" s="118"/>
      <c r="J28" s="89">
        <f>#N/A</f>
        <v>0.65624999999999989</v>
      </c>
      <c r="K28" s="89"/>
      <c r="L28" s="89"/>
      <c r="M28" s="89"/>
      <c r="N28" s="90"/>
      <c r="O28" s="91" t="str">
        <f>P17</f>
        <v>Blubu</v>
      </c>
      <c r="P28" s="92"/>
      <c r="Q28" s="92"/>
      <c r="R28" s="92"/>
      <c r="S28" s="92"/>
      <c r="T28" s="92"/>
      <c r="U28" s="92"/>
      <c r="V28" s="92"/>
      <c r="W28" s="92"/>
      <c r="X28" s="92"/>
      <c r="Y28" s="92"/>
      <c r="Z28" s="92"/>
      <c r="AA28" s="92"/>
      <c r="AB28" s="92"/>
      <c r="AC28" s="92"/>
      <c r="AD28" s="92"/>
      <c r="AE28" s="8" t="s">
        <v>19</v>
      </c>
      <c r="AF28" s="92" t="str">
        <f>P18</f>
        <v>Blibli</v>
      </c>
      <c r="AG28" s="92"/>
      <c r="AH28" s="92"/>
      <c r="AI28" s="92"/>
      <c r="AJ28" s="92"/>
      <c r="AK28" s="92"/>
      <c r="AL28" s="92"/>
      <c r="AM28" s="92"/>
      <c r="AN28" s="92"/>
      <c r="AO28" s="92"/>
      <c r="AP28" s="92"/>
      <c r="AQ28" s="92"/>
      <c r="AR28" s="92"/>
      <c r="AS28" s="92"/>
      <c r="AT28" s="92"/>
      <c r="AU28" s="92"/>
      <c r="AV28" s="124"/>
      <c r="AW28" s="114">
        <v>1</v>
      </c>
      <c r="AX28" s="122"/>
      <c r="AY28" s="8" t="s">
        <v>18</v>
      </c>
      <c r="AZ28" s="122">
        <v>1</v>
      </c>
      <c r="BA28" s="123"/>
      <c r="BB28" s="114"/>
      <c r="BC28" s="115"/>
      <c r="BD28" s="58"/>
      <c r="BE28" s="46"/>
      <c r="BF28" s="50">
        <f>#N/A</f>
        <v>1</v>
      </c>
      <c r="BG28" s="50" t="s">
        <v>18</v>
      </c>
      <c r="BH28" s="50">
        <f>#N/A</f>
        <v>1</v>
      </c>
      <c r="BI28" s="46"/>
      <c r="BJ28" s="46"/>
      <c r="BK28" s="46"/>
      <c r="BL28" s="46"/>
      <c r="BM28" s="54" t="str">
        <f>$P$20</f>
        <v>Bloblo</v>
      </c>
      <c r="BN28" s="52">
        <f>COUNT($BF$27,$BH$29,$BH$32,$BF$34)</f>
        <v>4</v>
      </c>
      <c r="BO28" s="52">
        <f>SUM($BF$27+$BH$29+$BH$32+$BF$34)</f>
        <v>4</v>
      </c>
      <c r="BP28" s="52">
        <f>SUM($AW$27+$AZ$29+$AZ$32+$AW$34)</f>
        <v>6</v>
      </c>
      <c r="BQ28" s="53" t="s">
        <v>18</v>
      </c>
      <c r="BR28" s="52">
        <f>SUM($AZ$27+$AW$29+$AW$32+$AZ$34)</f>
        <v>8</v>
      </c>
      <c r="BS28" s="52">
        <f>SUM(BP28-BR28)</f>
        <v>-2</v>
      </c>
      <c r="BT28" s="46"/>
      <c r="BU28" s="46"/>
      <c r="BV28" s="49"/>
      <c r="BW28" s="49"/>
      <c r="BX28" s="49"/>
      <c r="BY28" s="49"/>
      <c r="BZ28" s="49"/>
      <c r="CA28" s="49"/>
      <c r="CB28" s="49"/>
      <c r="CC28" s="34"/>
      <c r="CD28" s="34"/>
      <c r="CE28" s="34"/>
      <c r="CF28" s="34"/>
      <c r="CG28" s="34"/>
      <c r="CH28" s="34"/>
      <c r="CI28" s="34"/>
      <c r="CJ28" s="34"/>
      <c r="CK28" s="34"/>
      <c r="CL28" s="34"/>
      <c r="CM28" s="58"/>
      <c r="CN28" s="58"/>
      <c r="CO28" s="58"/>
      <c r="CP28" s="58"/>
      <c r="CQ28" s="58"/>
      <c r="CR28" s="58"/>
      <c r="CS28" s="58"/>
      <c r="CT28" s="58"/>
      <c r="CU28" s="34"/>
      <c r="CV28" s="34"/>
      <c r="CW28" s="34"/>
      <c r="CX28" s="34"/>
      <c r="CY28" s="34"/>
      <c r="CZ28" s="34"/>
      <c r="DA28" s="34"/>
      <c r="DB28" s="34"/>
      <c r="DC28" s="34"/>
      <c r="DD28" s="34"/>
      <c r="DE28" s="34"/>
      <c r="DF28" s="34"/>
      <c r="DG28" s="34"/>
      <c r="DH28" s="34"/>
      <c r="DI28" s="34"/>
      <c r="DJ28" s="34"/>
      <c r="DK28" s="34"/>
      <c r="DL28" s="58"/>
    </row>
    <row r="29" spans="2:116" s="4" customFormat="1" ht="18" customHeight="1" x14ac:dyDescent="0.2">
      <c r="B29" s="93">
        <v>5</v>
      </c>
      <c r="C29" s="94"/>
      <c r="D29" s="94">
        <v>1</v>
      </c>
      <c r="E29" s="94"/>
      <c r="F29" s="94"/>
      <c r="G29" s="94"/>
      <c r="H29" s="94"/>
      <c r="I29" s="94"/>
      <c r="J29" s="74">
        <f>#N/A</f>
        <v>0.66666666666666652</v>
      </c>
      <c r="K29" s="74"/>
      <c r="L29" s="74"/>
      <c r="M29" s="74"/>
      <c r="N29" s="75"/>
      <c r="O29" s="71" t="str">
        <f>P19</f>
        <v>Bleble</v>
      </c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  <c r="AA29" s="72"/>
      <c r="AB29" s="72"/>
      <c r="AC29" s="72"/>
      <c r="AD29" s="72"/>
      <c r="AE29" s="12" t="s">
        <v>19</v>
      </c>
      <c r="AF29" s="72" t="str">
        <f>P20</f>
        <v>Bloblo</v>
      </c>
      <c r="AG29" s="72"/>
      <c r="AH29" s="72"/>
      <c r="AI29" s="72"/>
      <c r="AJ29" s="72"/>
      <c r="AK29" s="72"/>
      <c r="AL29" s="72"/>
      <c r="AM29" s="72"/>
      <c r="AN29" s="72"/>
      <c r="AO29" s="72"/>
      <c r="AP29" s="72"/>
      <c r="AQ29" s="72"/>
      <c r="AR29" s="72"/>
      <c r="AS29" s="72"/>
      <c r="AT29" s="72"/>
      <c r="AU29" s="72"/>
      <c r="AV29" s="73"/>
      <c r="AW29" s="116">
        <v>2</v>
      </c>
      <c r="AX29" s="117"/>
      <c r="AY29" s="12" t="s">
        <v>18</v>
      </c>
      <c r="AZ29" s="117">
        <v>2</v>
      </c>
      <c r="BA29" s="126"/>
      <c r="BB29" s="116"/>
      <c r="BC29" s="125"/>
      <c r="BD29" s="58"/>
      <c r="BE29" s="46"/>
      <c r="BF29" s="50">
        <f>#N/A</f>
        <v>1</v>
      </c>
      <c r="BG29" s="50" t="s">
        <v>18</v>
      </c>
      <c r="BH29" s="50">
        <f>#N/A</f>
        <v>1</v>
      </c>
      <c r="BI29" s="46"/>
      <c r="BJ29" s="46"/>
      <c r="BK29" s="46"/>
      <c r="BL29" s="46"/>
      <c r="BM29" s="51" t="str">
        <f>$P$16</f>
        <v>Blaba</v>
      </c>
      <c r="BN29" s="52">
        <f>COUNT($BF$25,$BH$27,$BF$30,$BH$33)</f>
        <v>4</v>
      </c>
      <c r="BO29" s="52">
        <f>SUM($BF$25+$BH$27+$BF$30+$BH$33)</f>
        <v>2</v>
      </c>
      <c r="BP29" s="52">
        <f>SUM($AW$25+$AZ$27+$AW$30+$AZ$33)</f>
        <v>3</v>
      </c>
      <c r="BQ29" s="53" t="s">
        <v>18</v>
      </c>
      <c r="BR29" s="52">
        <f>SUM($AZ$25+$AW$27+$AZ$30+$AW$33)</f>
        <v>6</v>
      </c>
      <c r="BS29" s="52">
        <f>SUM(BP29-BR29)</f>
        <v>-3</v>
      </c>
      <c r="BT29" s="46"/>
      <c r="BU29" s="46"/>
      <c r="BV29" s="49"/>
      <c r="BW29" s="49"/>
      <c r="BX29" s="49"/>
      <c r="BY29" s="49"/>
      <c r="BZ29" s="49"/>
      <c r="CA29" s="49"/>
      <c r="CB29" s="49"/>
      <c r="CC29" s="34"/>
      <c r="CD29" s="34"/>
      <c r="CE29" s="34"/>
      <c r="CF29" s="34"/>
      <c r="CG29" s="34"/>
      <c r="CH29" s="34"/>
      <c r="CI29" s="34"/>
      <c r="CJ29" s="34"/>
      <c r="CK29" s="34"/>
      <c r="CL29" s="34"/>
      <c r="CM29" s="58"/>
      <c r="CN29" s="58"/>
      <c r="CO29" s="58"/>
      <c r="CP29" s="58"/>
      <c r="CQ29" s="58"/>
      <c r="CR29" s="58"/>
      <c r="CS29" s="58"/>
      <c r="CT29" s="58"/>
      <c r="CU29" s="34"/>
      <c r="CV29" s="34"/>
      <c r="CW29" s="34"/>
      <c r="CX29" s="34"/>
      <c r="CY29" s="34"/>
      <c r="CZ29" s="34"/>
      <c r="DA29" s="34"/>
      <c r="DB29" s="34"/>
      <c r="DC29" s="34"/>
      <c r="DD29" s="34"/>
      <c r="DE29" s="34"/>
      <c r="DF29" s="34"/>
      <c r="DG29" s="34"/>
      <c r="DH29" s="34"/>
      <c r="DI29" s="34"/>
      <c r="DJ29" s="34"/>
      <c r="DK29" s="34"/>
      <c r="DL29" s="58"/>
    </row>
    <row r="30" spans="2:116" s="4" customFormat="1" ht="18" customHeight="1" thickBot="1" x14ac:dyDescent="0.25">
      <c r="B30" s="127">
        <v>6</v>
      </c>
      <c r="C30" s="118"/>
      <c r="D30" s="118">
        <v>1</v>
      </c>
      <c r="E30" s="118"/>
      <c r="F30" s="118"/>
      <c r="G30" s="118"/>
      <c r="H30" s="118"/>
      <c r="I30" s="118"/>
      <c r="J30" s="89">
        <f>#N/A</f>
        <v>0.67708333333333315</v>
      </c>
      <c r="K30" s="89"/>
      <c r="L30" s="89"/>
      <c r="M30" s="89"/>
      <c r="N30" s="90"/>
      <c r="O30" s="91" t="str">
        <f>P16</f>
        <v>Blaba</v>
      </c>
      <c r="P30" s="92"/>
      <c r="Q30" s="92"/>
      <c r="R30" s="92"/>
      <c r="S30" s="92"/>
      <c r="T30" s="92"/>
      <c r="U30" s="92"/>
      <c r="V30" s="92"/>
      <c r="W30" s="92"/>
      <c r="X30" s="92"/>
      <c r="Y30" s="92"/>
      <c r="Z30" s="92"/>
      <c r="AA30" s="92"/>
      <c r="AB30" s="92"/>
      <c r="AC30" s="92"/>
      <c r="AD30" s="92"/>
      <c r="AE30" s="8" t="s">
        <v>19</v>
      </c>
      <c r="AF30" s="92" t="str">
        <f>P18</f>
        <v>Blibli</v>
      </c>
      <c r="AG30" s="92"/>
      <c r="AH30" s="92"/>
      <c r="AI30" s="92"/>
      <c r="AJ30" s="92"/>
      <c r="AK30" s="92"/>
      <c r="AL30" s="92"/>
      <c r="AM30" s="92"/>
      <c r="AN30" s="92"/>
      <c r="AO30" s="92"/>
      <c r="AP30" s="92"/>
      <c r="AQ30" s="92"/>
      <c r="AR30" s="92"/>
      <c r="AS30" s="92"/>
      <c r="AT30" s="92"/>
      <c r="AU30" s="92"/>
      <c r="AV30" s="124"/>
      <c r="AW30" s="114">
        <v>1</v>
      </c>
      <c r="AX30" s="122"/>
      <c r="AY30" s="8" t="s">
        <v>18</v>
      </c>
      <c r="AZ30" s="122">
        <v>2</v>
      </c>
      <c r="BA30" s="123"/>
      <c r="BB30" s="114"/>
      <c r="BC30" s="115"/>
      <c r="BD30" s="58"/>
      <c r="BE30" s="46"/>
      <c r="BF30" s="50">
        <f>#N/A</f>
        <v>0</v>
      </c>
      <c r="BG30" s="50" t="s">
        <v>18</v>
      </c>
      <c r="BH30" s="50">
        <f>#N/A</f>
        <v>3</v>
      </c>
      <c r="BI30" s="46"/>
      <c r="BJ30" s="46"/>
      <c r="BK30" s="40"/>
      <c r="BL30" s="40"/>
      <c r="BM30" s="40"/>
      <c r="BN30" s="40"/>
      <c r="BO30" s="40"/>
      <c r="BP30" s="40"/>
      <c r="BQ30" s="40"/>
      <c r="BR30" s="40"/>
      <c r="BS30" s="40"/>
      <c r="BT30" s="46"/>
      <c r="BU30" s="46"/>
      <c r="BV30" s="49"/>
      <c r="BW30" s="49"/>
      <c r="BX30" s="49"/>
      <c r="BY30" s="49"/>
      <c r="BZ30" s="49"/>
      <c r="CA30" s="49"/>
      <c r="CB30" s="49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58"/>
      <c r="CN30" s="58"/>
      <c r="CO30" s="58"/>
      <c r="CP30" s="58"/>
      <c r="CQ30" s="58"/>
      <c r="CR30" s="58"/>
      <c r="CS30" s="58"/>
      <c r="CT30" s="58"/>
      <c r="CU30" s="34"/>
      <c r="CV30" s="34"/>
      <c r="CW30" s="34"/>
      <c r="CX30" s="34"/>
      <c r="CY30" s="34"/>
      <c r="CZ30" s="34"/>
      <c r="DA30" s="34"/>
      <c r="DB30" s="34"/>
      <c r="DC30" s="34"/>
      <c r="DD30" s="34"/>
      <c r="DE30" s="34"/>
      <c r="DF30" s="34"/>
      <c r="DG30" s="34"/>
      <c r="DH30" s="34"/>
      <c r="DI30" s="34"/>
      <c r="DJ30" s="34"/>
      <c r="DK30" s="34"/>
      <c r="DL30" s="58"/>
    </row>
    <row r="31" spans="2:116" s="4" customFormat="1" ht="18" customHeight="1" x14ac:dyDescent="0.2">
      <c r="B31" s="93">
        <v>7</v>
      </c>
      <c r="C31" s="94"/>
      <c r="D31" s="94">
        <v>1</v>
      </c>
      <c r="E31" s="94"/>
      <c r="F31" s="94"/>
      <c r="G31" s="94"/>
      <c r="H31" s="94"/>
      <c r="I31" s="94"/>
      <c r="J31" s="74">
        <f>#N/A</f>
        <v>0.68749999999999978</v>
      </c>
      <c r="K31" s="74"/>
      <c r="L31" s="74"/>
      <c r="M31" s="74"/>
      <c r="N31" s="75"/>
      <c r="O31" s="71" t="str">
        <f>P17</f>
        <v>Blubu</v>
      </c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  <c r="AA31" s="72"/>
      <c r="AB31" s="72"/>
      <c r="AC31" s="72"/>
      <c r="AD31" s="72"/>
      <c r="AE31" s="12" t="s">
        <v>19</v>
      </c>
      <c r="AF31" s="72" t="str">
        <f>P19</f>
        <v>Bleble</v>
      </c>
      <c r="AG31" s="72"/>
      <c r="AH31" s="72"/>
      <c r="AI31" s="72"/>
      <c r="AJ31" s="72"/>
      <c r="AK31" s="72"/>
      <c r="AL31" s="72"/>
      <c r="AM31" s="72"/>
      <c r="AN31" s="72"/>
      <c r="AO31" s="72"/>
      <c r="AP31" s="72"/>
      <c r="AQ31" s="72"/>
      <c r="AR31" s="72"/>
      <c r="AS31" s="72"/>
      <c r="AT31" s="72"/>
      <c r="AU31" s="72"/>
      <c r="AV31" s="73"/>
      <c r="AW31" s="116">
        <v>2</v>
      </c>
      <c r="AX31" s="117"/>
      <c r="AY31" s="12" t="s">
        <v>18</v>
      </c>
      <c r="AZ31" s="117">
        <v>3</v>
      </c>
      <c r="BA31" s="126"/>
      <c r="BB31" s="116"/>
      <c r="BC31" s="125"/>
      <c r="BD31" s="13"/>
      <c r="BE31" s="46"/>
      <c r="BF31" s="50">
        <f>#N/A</f>
        <v>0</v>
      </c>
      <c r="BG31" s="50" t="s">
        <v>18</v>
      </c>
      <c r="BH31" s="50">
        <f>#N/A</f>
        <v>3</v>
      </c>
      <c r="BI31" s="46"/>
      <c r="BJ31" s="46"/>
      <c r="BK31" s="55"/>
      <c r="BL31" s="55"/>
      <c r="BM31" s="34"/>
      <c r="BN31" s="34"/>
      <c r="BO31" s="34"/>
      <c r="BP31" s="34"/>
      <c r="BQ31" s="34"/>
      <c r="BR31" s="34"/>
      <c r="BS31" s="52"/>
      <c r="BT31" s="46"/>
      <c r="BU31" s="46"/>
      <c r="BV31" s="49"/>
      <c r="BW31" s="49"/>
      <c r="BX31" s="49"/>
      <c r="BY31" s="49"/>
      <c r="BZ31" s="49"/>
      <c r="CA31" s="49"/>
      <c r="CB31" s="49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58"/>
      <c r="CN31" s="58"/>
      <c r="CO31" s="58"/>
      <c r="CP31" s="58"/>
      <c r="CQ31" s="58"/>
      <c r="CR31" s="58"/>
      <c r="CS31" s="58"/>
      <c r="CT31" s="58"/>
      <c r="CU31" s="34"/>
      <c r="CV31" s="34"/>
      <c r="CW31" s="34"/>
      <c r="CX31" s="34"/>
      <c r="CY31" s="34"/>
      <c r="CZ31" s="34"/>
      <c r="DA31" s="34"/>
      <c r="DB31" s="34"/>
      <c r="DC31" s="34"/>
      <c r="DD31" s="34"/>
      <c r="DE31" s="34"/>
      <c r="DF31" s="34"/>
      <c r="DG31" s="34"/>
      <c r="DH31" s="34"/>
      <c r="DI31" s="34"/>
      <c r="DJ31" s="34"/>
      <c r="DK31" s="34"/>
      <c r="DL31" s="58"/>
    </row>
    <row r="32" spans="2:116" s="4" customFormat="1" ht="18" customHeight="1" thickBot="1" x14ac:dyDescent="0.25">
      <c r="B32" s="127">
        <v>8</v>
      </c>
      <c r="C32" s="118"/>
      <c r="D32" s="118">
        <v>1</v>
      </c>
      <c r="E32" s="118"/>
      <c r="F32" s="118"/>
      <c r="G32" s="118"/>
      <c r="H32" s="118"/>
      <c r="I32" s="118"/>
      <c r="J32" s="89">
        <f>#N/A</f>
        <v>0.69791666666666641</v>
      </c>
      <c r="K32" s="89"/>
      <c r="L32" s="89"/>
      <c r="M32" s="89"/>
      <c r="N32" s="90"/>
      <c r="O32" s="91" t="str">
        <f>P18</f>
        <v>Blibli</v>
      </c>
      <c r="P32" s="92"/>
      <c r="Q32" s="92"/>
      <c r="R32" s="92"/>
      <c r="S32" s="92"/>
      <c r="T32" s="92"/>
      <c r="U32" s="92"/>
      <c r="V32" s="92"/>
      <c r="W32" s="92"/>
      <c r="X32" s="92"/>
      <c r="Y32" s="92"/>
      <c r="Z32" s="92"/>
      <c r="AA32" s="92"/>
      <c r="AB32" s="92"/>
      <c r="AC32" s="92"/>
      <c r="AD32" s="92"/>
      <c r="AE32" s="8" t="s">
        <v>19</v>
      </c>
      <c r="AF32" s="92" t="str">
        <f>P20</f>
        <v>Bloblo</v>
      </c>
      <c r="AG32" s="92"/>
      <c r="AH32" s="92"/>
      <c r="AI32" s="92"/>
      <c r="AJ32" s="92"/>
      <c r="AK32" s="92"/>
      <c r="AL32" s="92"/>
      <c r="AM32" s="92"/>
      <c r="AN32" s="92"/>
      <c r="AO32" s="92"/>
      <c r="AP32" s="92"/>
      <c r="AQ32" s="92"/>
      <c r="AR32" s="92"/>
      <c r="AS32" s="92"/>
      <c r="AT32" s="92"/>
      <c r="AU32" s="92"/>
      <c r="AV32" s="124"/>
      <c r="AW32" s="114">
        <v>2</v>
      </c>
      <c r="AX32" s="122"/>
      <c r="AY32" s="8" t="s">
        <v>18</v>
      </c>
      <c r="AZ32" s="122">
        <v>0</v>
      </c>
      <c r="BA32" s="123"/>
      <c r="BB32" s="114"/>
      <c r="BC32" s="115"/>
      <c r="BD32" s="13"/>
      <c r="BE32" s="46"/>
      <c r="BF32" s="50">
        <f>#N/A</f>
        <v>3</v>
      </c>
      <c r="BG32" s="50" t="s">
        <v>18</v>
      </c>
      <c r="BH32" s="50">
        <f>#N/A</f>
        <v>0</v>
      </c>
      <c r="BI32" s="46"/>
      <c r="BJ32" s="46"/>
      <c r="BK32" s="55"/>
      <c r="BL32" s="55"/>
      <c r="BM32" s="34"/>
      <c r="BN32" s="34"/>
      <c r="BO32" s="34"/>
      <c r="BP32" s="34"/>
      <c r="BQ32" s="34"/>
      <c r="BR32" s="34"/>
      <c r="BS32" s="52"/>
      <c r="BT32" s="46"/>
      <c r="BU32" s="46"/>
      <c r="BV32" s="49"/>
      <c r="BW32" s="49"/>
      <c r="BX32" s="49"/>
      <c r="BY32" s="49"/>
      <c r="BZ32" s="49"/>
      <c r="CA32" s="49"/>
      <c r="CB32" s="49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58"/>
      <c r="CN32" s="58"/>
      <c r="CO32" s="58"/>
      <c r="CP32" s="58"/>
      <c r="CQ32" s="58"/>
      <c r="CR32" s="58"/>
      <c r="CS32" s="58"/>
      <c r="CT32" s="58"/>
      <c r="CU32" s="34"/>
      <c r="CV32" s="34"/>
      <c r="CW32" s="34"/>
      <c r="CX32" s="34"/>
      <c r="CY32" s="34"/>
      <c r="CZ32" s="34"/>
      <c r="DA32" s="34"/>
      <c r="DB32" s="34"/>
      <c r="DC32" s="34"/>
      <c r="DD32" s="34"/>
      <c r="DE32" s="34"/>
      <c r="DF32" s="34"/>
      <c r="DG32" s="34"/>
      <c r="DH32" s="34"/>
      <c r="DI32" s="34"/>
      <c r="DJ32" s="34"/>
      <c r="DK32" s="34"/>
      <c r="DL32" s="58"/>
    </row>
    <row r="33" spans="2:116" s="4" customFormat="1" ht="18" customHeight="1" x14ac:dyDescent="0.2">
      <c r="B33" s="93">
        <v>9</v>
      </c>
      <c r="C33" s="94"/>
      <c r="D33" s="94">
        <v>1</v>
      </c>
      <c r="E33" s="94"/>
      <c r="F33" s="94"/>
      <c r="G33" s="94"/>
      <c r="H33" s="94"/>
      <c r="I33" s="94"/>
      <c r="J33" s="74">
        <f>#N/A</f>
        <v>0.70833333333333304</v>
      </c>
      <c r="K33" s="74"/>
      <c r="L33" s="74"/>
      <c r="M33" s="74"/>
      <c r="N33" s="75"/>
      <c r="O33" s="71" t="str">
        <f>P19</f>
        <v>Bleble</v>
      </c>
      <c r="P33" s="72"/>
      <c r="Q33" s="72"/>
      <c r="R33" s="72"/>
      <c r="S33" s="72"/>
      <c r="T33" s="72"/>
      <c r="U33" s="72"/>
      <c r="V33" s="72"/>
      <c r="W33" s="72"/>
      <c r="X33" s="72"/>
      <c r="Y33" s="72"/>
      <c r="Z33" s="72"/>
      <c r="AA33" s="72"/>
      <c r="AB33" s="72"/>
      <c r="AC33" s="72"/>
      <c r="AD33" s="72"/>
      <c r="AE33" s="12" t="s">
        <v>19</v>
      </c>
      <c r="AF33" s="72" t="str">
        <f>P16</f>
        <v>Blaba</v>
      </c>
      <c r="AG33" s="72"/>
      <c r="AH33" s="72"/>
      <c r="AI33" s="72"/>
      <c r="AJ33" s="72"/>
      <c r="AK33" s="72"/>
      <c r="AL33" s="72"/>
      <c r="AM33" s="72"/>
      <c r="AN33" s="72"/>
      <c r="AO33" s="72"/>
      <c r="AP33" s="72"/>
      <c r="AQ33" s="72"/>
      <c r="AR33" s="72"/>
      <c r="AS33" s="72"/>
      <c r="AT33" s="72"/>
      <c r="AU33" s="72"/>
      <c r="AV33" s="73"/>
      <c r="AW33" s="116">
        <v>1</v>
      </c>
      <c r="AX33" s="117"/>
      <c r="AY33" s="12" t="s">
        <v>18</v>
      </c>
      <c r="AZ33" s="117">
        <v>1</v>
      </c>
      <c r="BA33" s="126"/>
      <c r="BB33" s="116"/>
      <c r="BC33" s="125"/>
      <c r="BD33" s="13"/>
      <c r="BE33" s="46"/>
      <c r="BF33" s="50">
        <f>#N/A</f>
        <v>1</v>
      </c>
      <c r="BG33" s="50" t="s">
        <v>18</v>
      </c>
      <c r="BH33" s="50">
        <f>#N/A</f>
        <v>1</v>
      </c>
      <c r="BI33" s="46"/>
      <c r="BJ33" s="46"/>
      <c r="BK33" s="55"/>
      <c r="BL33" s="55"/>
      <c r="BM33" s="34"/>
      <c r="BN33" s="34"/>
      <c r="BO33" s="34"/>
      <c r="BP33" s="34"/>
      <c r="BQ33" s="34"/>
      <c r="BR33" s="34"/>
      <c r="BS33" s="52"/>
      <c r="BT33" s="46"/>
      <c r="BU33" s="46"/>
      <c r="BV33" s="49"/>
      <c r="BW33" s="49"/>
      <c r="BX33" s="49"/>
      <c r="BY33" s="49"/>
      <c r="BZ33" s="49"/>
      <c r="CA33" s="49"/>
      <c r="CB33" s="49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58"/>
      <c r="CN33" s="58"/>
      <c r="CO33" s="58"/>
      <c r="CP33" s="58"/>
      <c r="CQ33" s="58"/>
      <c r="CR33" s="58"/>
      <c r="CS33" s="58"/>
      <c r="CT33" s="58"/>
      <c r="CU33" s="34"/>
      <c r="CV33" s="34"/>
      <c r="CW33" s="34"/>
      <c r="CX33" s="34"/>
      <c r="CY33" s="34"/>
      <c r="CZ33" s="34"/>
      <c r="DA33" s="34"/>
      <c r="DB33" s="34"/>
      <c r="DC33" s="34"/>
      <c r="DD33" s="34"/>
      <c r="DE33" s="34"/>
      <c r="DF33" s="34"/>
      <c r="DG33" s="34"/>
      <c r="DH33" s="34"/>
      <c r="DI33" s="34"/>
      <c r="DJ33" s="34"/>
      <c r="DK33" s="34"/>
      <c r="DL33" s="58"/>
    </row>
    <row r="34" spans="2:116" s="4" customFormat="1" ht="18" customHeight="1" thickBot="1" x14ac:dyDescent="0.25">
      <c r="B34" s="127">
        <v>10</v>
      </c>
      <c r="C34" s="118"/>
      <c r="D34" s="118">
        <v>1</v>
      </c>
      <c r="E34" s="118"/>
      <c r="F34" s="118"/>
      <c r="G34" s="118"/>
      <c r="H34" s="118"/>
      <c r="I34" s="118"/>
      <c r="J34" s="89">
        <f>#N/A</f>
        <v>0.71874999999999967</v>
      </c>
      <c r="K34" s="89"/>
      <c r="L34" s="89"/>
      <c r="M34" s="89"/>
      <c r="N34" s="90"/>
      <c r="O34" s="91" t="str">
        <f>P20</f>
        <v>Bloblo</v>
      </c>
      <c r="P34" s="92"/>
      <c r="Q34" s="92"/>
      <c r="R34" s="92"/>
      <c r="S34" s="92"/>
      <c r="T34" s="92"/>
      <c r="U34" s="92"/>
      <c r="V34" s="92"/>
      <c r="W34" s="92"/>
      <c r="X34" s="92"/>
      <c r="Y34" s="92"/>
      <c r="Z34" s="92"/>
      <c r="AA34" s="92"/>
      <c r="AB34" s="92"/>
      <c r="AC34" s="92"/>
      <c r="AD34" s="92"/>
      <c r="AE34" s="8" t="s">
        <v>19</v>
      </c>
      <c r="AF34" s="92" t="str">
        <f>P17</f>
        <v>Blubu</v>
      </c>
      <c r="AG34" s="92"/>
      <c r="AH34" s="92"/>
      <c r="AI34" s="92"/>
      <c r="AJ34" s="92"/>
      <c r="AK34" s="92"/>
      <c r="AL34" s="92"/>
      <c r="AM34" s="92"/>
      <c r="AN34" s="92"/>
      <c r="AO34" s="92"/>
      <c r="AP34" s="92"/>
      <c r="AQ34" s="92"/>
      <c r="AR34" s="92"/>
      <c r="AS34" s="92"/>
      <c r="AT34" s="92"/>
      <c r="AU34" s="92"/>
      <c r="AV34" s="124"/>
      <c r="AW34" s="114">
        <v>2</v>
      </c>
      <c r="AX34" s="122"/>
      <c r="AY34" s="8" t="s">
        <v>18</v>
      </c>
      <c r="AZ34" s="122">
        <v>4</v>
      </c>
      <c r="BA34" s="123"/>
      <c r="BB34" s="114"/>
      <c r="BC34" s="115"/>
      <c r="BD34" s="13"/>
      <c r="BE34" s="46"/>
      <c r="BF34" s="50">
        <f>#N/A</f>
        <v>0</v>
      </c>
      <c r="BG34" s="50" t="s">
        <v>18</v>
      </c>
      <c r="BH34" s="50">
        <f>#N/A</f>
        <v>3</v>
      </c>
      <c r="BI34" s="46"/>
      <c r="BJ34" s="46"/>
      <c r="BK34" s="55"/>
      <c r="BL34" s="55"/>
      <c r="BM34" s="34"/>
      <c r="BN34" s="34"/>
      <c r="BO34" s="34"/>
      <c r="BP34" s="34"/>
      <c r="BQ34" s="34"/>
      <c r="BR34" s="34"/>
      <c r="BS34" s="52"/>
      <c r="BT34" s="46"/>
      <c r="BU34" s="46"/>
      <c r="BV34" s="49"/>
      <c r="BW34" s="49"/>
      <c r="BX34" s="49"/>
      <c r="BY34" s="49"/>
      <c r="BZ34" s="49"/>
      <c r="CA34" s="49"/>
      <c r="CB34" s="49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58"/>
      <c r="CN34" s="58"/>
      <c r="CO34" s="58"/>
      <c r="CP34" s="58"/>
      <c r="CQ34" s="58"/>
      <c r="CR34" s="58"/>
      <c r="CS34" s="58"/>
      <c r="CT34" s="58"/>
      <c r="CU34" s="34"/>
      <c r="CV34" s="34"/>
      <c r="CW34" s="34"/>
      <c r="CX34" s="34"/>
      <c r="CY34" s="34"/>
      <c r="CZ34" s="34"/>
      <c r="DA34" s="34"/>
      <c r="DB34" s="34"/>
      <c r="DC34" s="34"/>
      <c r="DD34" s="34"/>
      <c r="DE34" s="34"/>
      <c r="DF34" s="34"/>
      <c r="DG34" s="34"/>
      <c r="DH34" s="34"/>
      <c r="DI34" s="34"/>
      <c r="DJ34" s="34"/>
      <c r="DK34" s="34"/>
      <c r="DL34" s="58"/>
    </row>
    <row r="36" spans="2:116" x14ac:dyDescent="0.2">
      <c r="B36" s="1" t="s">
        <v>29</v>
      </c>
    </row>
    <row r="37" spans="2:116" ht="6" customHeight="1" x14ac:dyDescent="0.2"/>
    <row r="38" spans="2:116" s="9" customFormat="1" ht="13.5" customHeight="1" thickBot="1" x14ac:dyDescent="0.25">
      <c r="AA38" s="10"/>
      <c r="AB38" s="10"/>
      <c r="AC38" s="10"/>
      <c r="AD38" s="10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E38" s="56"/>
      <c r="BF38" s="56"/>
      <c r="BG38" s="56"/>
      <c r="BH38" s="56"/>
      <c r="BI38" s="56"/>
      <c r="BJ38" s="56"/>
      <c r="BK38" s="56"/>
      <c r="BL38" s="56"/>
      <c r="BM38" s="56"/>
      <c r="BN38" s="56"/>
      <c r="BO38" s="56"/>
      <c r="BP38" s="56"/>
      <c r="BQ38" s="56"/>
      <c r="BR38" s="56"/>
      <c r="BS38" s="56"/>
      <c r="BT38" s="56"/>
      <c r="BU38" s="56"/>
      <c r="BV38" s="57"/>
      <c r="BW38" s="57"/>
      <c r="BX38" s="57"/>
      <c r="BY38" s="57"/>
      <c r="BZ38" s="57"/>
      <c r="CA38" s="57"/>
      <c r="CB38" s="57"/>
      <c r="CC38" s="36"/>
      <c r="CD38" s="36"/>
      <c r="CE38" s="36"/>
      <c r="CF38" s="36"/>
      <c r="CG38" s="36"/>
      <c r="CH38" s="36"/>
      <c r="CI38" s="36"/>
      <c r="CJ38" s="36"/>
      <c r="CK38" s="36"/>
      <c r="CL38" s="36"/>
      <c r="CU38" s="36"/>
      <c r="CV38" s="36"/>
      <c r="CW38" s="36"/>
      <c r="CX38" s="36"/>
      <c r="CY38" s="36"/>
      <c r="CZ38" s="36"/>
      <c r="DA38" s="36"/>
      <c r="DB38" s="36"/>
      <c r="DC38" s="36"/>
      <c r="DD38" s="36"/>
      <c r="DE38" s="36"/>
      <c r="DF38" s="36"/>
      <c r="DG38" s="36"/>
      <c r="DH38" s="36"/>
      <c r="DI38" s="36"/>
      <c r="DJ38" s="36"/>
      <c r="DK38" s="36"/>
    </row>
    <row r="39" spans="2:116" ht="13.5" thickBot="1" x14ac:dyDescent="0.25">
      <c r="I39" s="120" t="s">
        <v>31</v>
      </c>
      <c r="J39" s="121"/>
      <c r="K39" s="121"/>
      <c r="L39" s="121"/>
      <c r="M39" s="121"/>
      <c r="N39" s="121"/>
      <c r="O39" s="121"/>
      <c r="P39" s="121"/>
      <c r="Q39" s="121"/>
      <c r="R39" s="121"/>
      <c r="S39" s="121"/>
      <c r="T39" s="121"/>
      <c r="U39" s="121"/>
      <c r="V39" s="121"/>
      <c r="W39" s="121"/>
      <c r="X39" s="121"/>
      <c r="Y39" s="121"/>
      <c r="Z39" s="121"/>
      <c r="AA39" s="121"/>
      <c r="AB39" s="121"/>
      <c r="AC39" s="121"/>
      <c r="AD39" s="121"/>
      <c r="AE39" s="121"/>
      <c r="AF39" s="121"/>
      <c r="AG39" s="121"/>
      <c r="AH39" s="97" t="s">
        <v>28</v>
      </c>
      <c r="AI39" s="98"/>
      <c r="AJ39" s="98"/>
      <c r="AK39" s="97" t="s">
        <v>21</v>
      </c>
      <c r="AL39" s="98"/>
      <c r="AM39" s="98"/>
      <c r="AN39" s="97" t="s">
        <v>22</v>
      </c>
      <c r="AO39" s="98"/>
      <c r="AP39" s="98"/>
      <c r="AQ39" s="98"/>
      <c r="AR39" s="98"/>
      <c r="AS39" s="97" t="s">
        <v>23</v>
      </c>
      <c r="AT39" s="98"/>
      <c r="AU39" s="119"/>
    </row>
    <row r="40" spans="2:116" ht="20.100000000000001" customHeight="1" thickBot="1" x14ac:dyDescent="0.25">
      <c r="I40" s="105" t="s">
        <v>10</v>
      </c>
      <c r="J40" s="100"/>
      <c r="K40" s="110" t="str">
        <f>BM25</f>
        <v>Blibli</v>
      </c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F40" s="110"/>
      <c r="AG40" s="110"/>
      <c r="AH40" s="101">
        <f>BN25</f>
        <v>4</v>
      </c>
      <c r="AI40" s="100"/>
      <c r="AJ40" s="102"/>
      <c r="AK40" s="100">
        <f>BO25</f>
        <v>10</v>
      </c>
      <c r="AL40" s="100"/>
      <c r="AM40" s="100"/>
      <c r="AN40" s="101">
        <f>BP25</f>
        <v>7</v>
      </c>
      <c r="AO40" s="100"/>
      <c r="AP40" s="39" t="s">
        <v>18</v>
      </c>
      <c r="AQ40" s="100">
        <f>BR25</f>
        <v>3</v>
      </c>
      <c r="AR40" s="102"/>
      <c r="AS40" s="103">
        <f>BS25</f>
        <v>4</v>
      </c>
      <c r="AT40" s="103"/>
      <c r="AU40" s="104"/>
    </row>
    <row r="41" spans="2:116" ht="20.100000000000001" customHeight="1" thickBot="1" x14ac:dyDescent="0.25">
      <c r="I41" s="105" t="s">
        <v>11</v>
      </c>
      <c r="J41" s="100"/>
      <c r="K41" s="110" t="str">
        <f>BM26</f>
        <v>Blubu</v>
      </c>
      <c r="L41" s="110"/>
      <c r="M41" s="110"/>
      <c r="N41" s="110"/>
      <c r="O41" s="110"/>
      <c r="P41" s="110"/>
      <c r="Q41" s="110"/>
      <c r="R41" s="110"/>
      <c r="S41" s="110"/>
      <c r="T41" s="110"/>
      <c r="U41" s="110"/>
      <c r="V41" s="110"/>
      <c r="W41" s="110"/>
      <c r="X41" s="110"/>
      <c r="Y41" s="110"/>
      <c r="Z41" s="110"/>
      <c r="AA41" s="110"/>
      <c r="AB41" s="110"/>
      <c r="AC41" s="110"/>
      <c r="AD41" s="110"/>
      <c r="AE41" s="110"/>
      <c r="AF41" s="110"/>
      <c r="AG41" s="110"/>
      <c r="AH41" s="101">
        <f>BN26</f>
        <v>4</v>
      </c>
      <c r="AI41" s="100"/>
      <c r="AJ41" s="102"/>
      <c r="AK41" s="100">
        <f>BO26</f>
        <v>5</v>
      </c>
      <c r="AL41" s="100"/>
      <c r="AM41" s="100"/>
      <c r="AN41" s="101">
        <f>BP26</f>
        <v>8</v>
      </c>
      <c r="AO41" s="100"/>
      <c r="AP41" s="39" t="s">
        <v>18</v>
      </c>
      <c r="AQ41" s="100">
        <f>BR26</f>
        <v>7</v>
      </c>
      <c r="AR41" s="102"/>
      <c r="AS41" s="103">
        <f>BS26</f>
        <v>1</v>
      </c>
      <c r="AT41" s="103"/>
      <c r="AU41" s="104"/>
    </row>
    <row r="42" spans="2:116" ht="20.100000000000001" customHeight="1" thickBot="1" x14ac:dyDescent="0.25">
      <c r="I42" s="105" t="s">
        <v>12</v>
      </c>
      <c r="J42" s="100"/>
      <c r="K42" s="110" t="str">
        <f>BM27</f>
        <v>Bleble</v>
      </c>
      <c r="L42" s="110"/>
      <c r="M42" s="110"/>
      <c r="N42" s="110"/>
      <c r="O42" s="110"/>
      <c r="P42" s="110"/>
      <c r="Q42" s="110"/>
      <c r="R42" s="110"/>
      <c r="S42" s="110"/>
      <c r="T42" s="110"/>
      <c r="U42" s="110"/>
      <c r="V42" s="110"/>
      <c r="W42" s="110"/>
      <c r="X42" s="110"/>
      <c r="Y42" s="110"/>
      <c r="Z42" s="110"/>
      <c r="AA42" s="110"/>
      <c r="AB42" s="110"/>
      <c r="AC42" s="110"/>
      <c r="AD42" s="110"/>
      <c r="AE42" s="110"/>
      <c r="AF42" s="110"/>
      <c r="AG42" s="110"/>
      <c r="AH42" s="101">
        <f>BN27</f>
        <v>4</v>
      </c>
      <c r="AI42" s="100"/>
      <c r="AJ42" s="102"/>
      <c r="AK42" s="100">
        <f>BO27</f>
        <v>5</v>
      </c>
      <c r="AL42" s="100"/>
      <c r="AM42" s="100"/>
      <c r="AN42" s="101">
        <f>BP27</f>
        <v>7</v>
      </c>
      <c r="AO42" s="100"/>
      <c r="AP42" s="39" t="s">
        <v>18</v>
      </c>
      <c r="AQ42" s="100">
        <f>BR27</f>
        <v>7</v>
      </c>
      <c r="AR42" s="102"/>
      <c r="AS42" s="103">
        <f>BS27</f>
        <v>0</v>
      </c>
      <c r="AT42" s="103"/>
      <c r="AU42" s="104"/>
    </row>
    <row r="43" spans="2:116" ht="20.100000000000001" customHeight="1" thickBot="1" x14ac:dyDescent="0.25">
      <c r="I43" s="113" t="s">
        <v>13</v>
      </c>
      <c r="J43" s="108"/>
      <c r="K43" s="106" t="str">
        <f>BM28</f>
        <v>Bloblo</v>
      </c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7">
        <f>BN28</f>
        <v>4</v>
      </c>
      <c r="AI43" s="108"/>
      <c r="AJ43" s="109"/>
      <c r="AK43" s="108">
        <f>BO28</f>
        <v>4</v>
      </c>
      <c r="AL43" s="108"/>
      <c r="AM43" s="108"/>
      <c r="AN43" s="107">
        <f>BP28</f>
        <v>6</v>
      </c>
      <c r="AO43" s="108"/>
      <c r="AP43" s="38" t="s">
        <v>18</v>
      </c>
      <c r="AQ43" s="108">
        <f>BR28</f>
        <v>8</v>
      </c>
      <c r="AR43" s="109"/>
      <c r="AS43" s="111">
        <f>BS28</f>
        <v>-2</v>
      </c>
      <c r="AT43" s="111"/>
      <c r="AU43" s="112"/>
    </row>
    <row r="44" spans="2:116" ht="20.100000000000001" customHeight="1" thickBot="1" x14ac:dyDescent="0.25">
      <c r="I44" s="105" t="s">
        <v>14</v>
      </c>
      <c r="J44" s="100"/>
      <c r="K44" s="110" t="str">
        <f>BM29</f>
        <v>Blaba</v>
      </c>
      <c r="L44" s="110"/>
      <c r="M44" s="110"/>
      <c r="N44" s="110"/>
      <c r="O44" s="110"/>
      <c r="P44" s="110"/>
      <c r="Q44" s="110"/>
      <c r="R44" s="110"/>
      <c r="S44" s="110"/>
      <c r="T44" s="110"/>
      <c r="U44" s="110"/>
      <c r="V44" s="110"/>
      <c r="W44" s="110"/>
      <c r="X44" s="110"/>
      <c r="Y44" s="110"/>
      <c r="Z44" s="110"/>
      <c r="AA44" s="110"/>
      <c r="AB44" s="110"/>
      <c r="AC44" s="110"/>
      <c r="AD44" s="110"/>
      <c r="AE44" s="110"/>
      <c r="AF44" s="110"/>
      <c r="AG44" s="110"/>
      <c r="AH44" s="101">
        <f>BN29</f>
        <v>4</v>
      </c>
      <c r="AI44" s="100"/>
      <c r="AJ44" s="102"/>
      <c r="AK44" s="100">
        <f>BO29</f>
        <v>2</v>
      </c>
      <c r="AL44" s="100"/>
      <c r="AM44" s="100"/>
      <c r="AN44" s="101">
        <f>BP29</f>
        <v>3</v>
      </c>
      <c r="AO44" s="100"/>
      <c r="AP44" s="39" t="s">
        <v>18</v>
      </c>
      <c r="AQ44" s="100">
        <f>BR29</f>
        <v>6</v>
      </c>
      <c r="AR44" s="102"/>
      <c r="AS44" s="103">
        <f>BS29</f>
        <v>-3</v>
      </c>
      <c r="AT44" s="103"/>
      <c r="AU44" s="104"/>
    </row>
  </sheetData>
  <mergeCells count="164">
    <mergeCell ref="J33:N33"/>
    <mergeCell ref="O33:AD33"/>
    <mergeCell ref="AF33:AV33"/>
    <mergeCell ref="J29:N29"/>
    <mergeCell ref="O29:AD29"/>
    <mergeCell ref="AF29:AV29"/>
    <mergeCell ref="N20:O20"/>
    <mergeCell ref="J31:N31"/>
    <mergeCell ref="O31:AD31"/>
    <mergeCell ref="J32:N32"/>
    <mergeCell ref="O32:AD32"/>
    <mergeCell ref="O24:AV24"/>
    <mergeCell ref="AF27:AV27"/>
    <mergeCell ref="A2:AP2"/>
    <mergeCell ref="A3:AP3"/>
    <mergeCell ref="A4:AP4"/>
    <mergeCell ref="N15:AJ15"/>
    <mergeCell ref="AL10:AP10"/>
    <mergeCell ref="U10:V10"/>
    <mergeCell ref="AK15:AL15"/>
    <mergeCell ref="M6:T6"/>
    <mergeCell ref="Y6:AF6"/>
    <mergeCell ref="B8:AM8"/>
    <mergeCell ref="X10:AB10"/>
    <mergeCell ref="H10:L10"/>
    <mergeCell ref="AK44:AM44"/>
    <mergeCell ref="AN44:AO44"/>
    <mergeCell ref="AQ44:AR44"/>
    <mergeCell ref="I41:J41"/>
    <mergeCell ref="K41:AG41"/>
    <mergeCell ref="K44:AG44"/>
    <mergeCell ref="K42:AG42"/>
    <mergeCell ref="AQ42:AR42"/>
    <mergeCell ref="AS44:AU44"/>
    <mergeCell ref="I44:J44"/>
    <mergeCell ref="K43:AG43"/>
    <mergeCell ref="AH43:AJ43"/>
    <mergeCell ref="AK43:AM43"/>
    <mergeCell ref="AN43:AO43"/>
    <mergeCell ref="AQ43:AR43"/>
    <mergeCell ref="AS43:AU43"/>
    <mergeCell ref="I43:J43"/>
    <mergeCell ref="AH44:AJ44"/>
    <mergeCell ref="AS42:AU42"/>
    <mergeCell ref="I42:J42"/>
    <mergeCell ref="AH41:AJ41"/>
    <mergeCell ref="AK41:AM41"/>
    <mergeCell ref="AN41:AO41"/>
    <mergeCell ref="AQ41:AR41"/>
    <mergeCell ref="J34:N34"/>
    <mergeCell ref="O34:AD34"/>
    <mergeCell ref="AF34:AV34"/>
    <mergeCell ref="AW34:AX34"/>
    <mergeCell ref="AZ34:BA34"/>
    <mergeCell ref="BB34:BC34"/>
    <mergeCell ref="AS41:AU41"/>
    <mergeCell ref="AH42:AJ42"/>
    <mergeCell ref="AK42:AM42"/>
    <mergeCell ref="AN42:AO42"/>
    <mergeCell ref="AS40:AU40"/>
    <mergeCell ref="I40:J40"/>
    <mergeCell ref="AN39:AR39"/>
    <mergeCell ref="AS39:AU39"/>
    <mergeCell ref="AH40:AJ40"/>
    <mergeCell ref="AK40:AM40"/>
    <mergeCell ref="AN40:AO40"/>
    <mergeCell ref="AQ40:AR40"/>
    <mergeCell ref="K40:AG40"/>
    <mergeCell ref="AH39:AJ39"/>
    <mergeCell ref="I39:AG39"/>
    <mergeCell ref="AK39:AM39"/>
    <mergeCell ref="AW27:AX27"/>
    <mergeCell ref="AZ27:BA27"/>
    <mergeCell ref="BB29:BC29"/>
    <mergeCell ref="AF30:AV30"/>
    <mergeCell ref="AW30:AX30"/>
    <mergeCell ref="AW33:AX33"/>
    <mergeCell ref="AZ31:BA31"/>
    <mergeCell ref="BB31:BC31"/>
    <mergeCell ref="AF32:AV32"/>
    <mergeCell ref="AW32:AX32"/>
    <mergeCell ref="AZ32:BA32"/>
    <mergeCell ref="AZ33:BA33"/>
    <mergeCell ref="BB32:BC32"/>
    <mergeCell ref="AF31:AV31"/>
    <mergeCell ref="AW31:AX31"/>
    <mergeCell ref="AW29:AX29"/>
    <mergeCell ref="AZ29:BA29"/>
    <mergeCell ref="BB33:BC33"/>
    <mergeCell ref="B31:C31"/>
    <mergeCell ref="D29:F29"/>
    <mergeCell ref="G29:I29"/>
    <mergeCell ref="D28:F28"/>
    <mergeCell ref="G28:I28"/>
    <mergeCell ref="B32:C32"/>
    <mergeCell ref="B33:C33"/>
    <mergeCell ref="B34:C34"/>
    <mergeCell ref="D31:F31"/>
    <mergeCell ref="G31:I31"/>
    <mergeCell ref="D33:F33"/>
    <mergeCell ref="G33:I33"/>
    <mergeCell ref="D32:F32"/>
    <mergeCell ref="G32:I32"/>
    <mergeCell ref="D30:F30"/>
    <mergeCell ref="G30:I30"/>
    <mergeCell ref="D34:F34"/>
    <mergeCell ref="G34:I34"/>
    <mergeCell ref="BB24:BC24"/>
    <mergeCell ref="AW24:BA24"/>
    <mergeCell ref="J24:N24"/>
    <mergeCell ref="D24:F24"/>
    <mergeCell ref="G24:I24"/>
    <mergeCell ref="B27:C27"/>
    <mergeCell ref="B28:C28"/>
    <mergeCell ref="B29:C29"/>
    <mergeCell ref="B30:C30"/>
    <mergeCell ref="J30:N30"/>
    <mergeCell ref="O30:AD30"/>
    <mergeCell ref="J28:N28"/>
    <mergeCell ref="O28:AD28"/>
    <mergeCell ref="AZ30:BA30"/>
    <mergeCell ref="BB30:BC30"/>
    <mergeCell ref="J27:N27"/>
    <mergeCell ref="BB27:BC27"/>
    <mergeCell ref="BB28:BC28"/>
    <mergeCell ref="AF28:AV28"/>
    <mergeCell ref="AW28:AX28"/>
    <mergeCell ref="AZ28:BA28"/>
    <mergeCell ref="D27:F27"/>
    <mergeCell ref="G27:I27"/>
    <mergeCell ref="O27:AD27"/>
    <mergeCell ref="BB25:BC25"/>
    <mergeCell ref="AW25:AX25"/>
    <mergeCell ref="AZ25:BA25"/>
    <mergeCell ref="AW26:AX26"/>
    <mergeCell ref="AZ26:BA26"/>
    <mergeCell ref="BB26:BC26"/>
    <mergeCell ref="B25:C25"/>
    <mergeCell ref="D25:F25"/>
    <mergeCell ref="G25:I25"/>
    <mergeCell ref="J25:N25"/>
    <mergeCell ref="AK18:AL18"/>
    <mergeCell ref="AK19:AL19"/>
    <mergeCell ref="AK16:AL16"/>
    <mergeCell ref="AK17:AL17"/>
    <mergeCell ref="B26:C26"/>
    <mergeCell ref="O26:AD26"/>
    <mergeCell ref="AF26:AV26"/>
    <mergeCell ref="J26:N26"/>
    <mergeCell ref="D26:F26"/>
    <mergeCell ref="G26:I26"/>
    <mergeCell ref="O25:AD25"/>
    <mergeCell ref="AF25:AV25"/>
    <mergeCell ref="B24:C24"/>
    <mergeCell ref="P16:AJ16"/>
    <mergeCell ref="P17:AJ17"/>
    <mergeCell ref="P18:AJ18"/>
    <mergeCell ref="P19:AJ19"/>
    <mergeCell ref="P20:AJ20"/>
    <mergeCell ref="N16:O16"/>
    <mergeCell ref="N17:O17"/>
    <mergeCell ref="N18:O18"/>
    <mergeCell ref="N19:O19"/>
    <mergeCell ref="AK20:AL20"/>
  </mergeCells>
  <phoneticPr fontId="2" type="noConversion"/>
  <pageMargins left="0.39370078740157483" right="0.39370078740157483" top="0.39370078740157483" bottom="0.39370078740157483" header="0" footer="0"/>
  <pageSetup paperSize="9" orientation="portrait" r:id="rId1"/>
  <headerFooter alignWithMargins="0">
    <oddFooter xml:space="preserve">&amp;C                                  &amp;F&amp;R&amp;P von &amp;N 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DL44"/>
  <sheetViews>
    <sheetView zoomScale="112" zoomScaleNormal="70" workbookViewId="0">
      <selection activeCell="P16" sqref="P16:AJ20"/>
    </sheetView>
  </sheetViews>
  <sheetFormatPr baseColWidth="10" defaultColWidth="1.7109375" defaultRowHeight="12.75" x14ac:dyDescent="0.2"/>
  <cols>
    <col min="1" max="55" width="1.7109375" customWidth="1"/>
    <col min="56" max="56" width="1.7109375" style="7" customWidth="1"/>
    <col min="57" max="57" width="1.7109375" style="40" customWidth="1"/>
    <col min="58" max="58" width="2.85546875" style="40" customWidth="1"/>
    <col min="59" max="59" width="2.140625" style="40" customWidth="1"/>
    <col min="60" max="60" width="2.85546875" style="40" customWidth="1"/>
    <col min="61" max="64" width="1.7109375" style="40" customWidth="1"/>
    <col min="65" max="65" width="3.42578125" style="40" bestFit="1" customWidth="1"/>
    <col min="66" max="66" width="2.28515625" style="40" customWidth="1"/>
    <col min="67" max="68" width="2.140625" style="40" bestFit="1" customWidth="1"/>
    <col min="69" max="69" width="2.28515625" style="40" customWidth="1"/>
    <col min="70" max="70" width="2.5703125" style="40" customWidth="1"/>
    <col min="71" max="71" width="2.140625" style="40" bestFit="1" customWidth="1"/>
    <col min="72" max="73" width="1.7109375" style="40" customWidth="1"/>
    <col min="74" max="80" width="1.7109375" style="41" customWidth="1"/>
    <col min="81" max="90" width="1.7109375" style="31" customWidth="1"/>
    <col min="91" max="98" width="1.7109375" style="7" customWidth="1"/>
    <col min="99" max="115" width="1.7109375" style="31" customWidth="1"/>
    <col min="116" max="116" width="1.7109375" style="7" customWidth="1"/>
  </cols>
  <sheetData>
    <row r="1" spans="1:115" ht="7.5" customHeight="1" x14ac:dyDescent="0.2"/>
    <row r="2" spans="1:115" ht="33" x14ac:dyDescent="0.2">
      <c r="A2" s="76" t="s">
        <v>38</v>
      </c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19"/>
      <c r="AR2" s="20"/>
      <c r="AS2" s="20"/>
      <c r="AT2" s="20"/>
      <c r="AU2" s="20"/>
      <c r="AV2" s="20"/>
      <c r="AW2" s="20"/>
      <c r="AX2" s="20"/>
      <c r="AY2" s="20"/>
      <c r="AZ2" s="20"/>
      <c r="BA2" s="20"/>
      <c r="BB2" s="20"/>
      <c r="BC2" s="21"/>
    </row>
    <row r="3" spans="1:115" s="11" customFormat="1" ht="27" x14ac:dyDescent="0.5">
      <c r="A3" s="77" t="s">
        <v>39</v>
      </c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7"/>
      <c r="AB3" s="77"/>
      <c r="AC3" s="77"/>
      <c r="AD3" s="77"/>
      <c r="AE3" s="77"/>
      <c r="AF3" s="77"/>
      <c r="AG3" s="77"/>
      <c r="AH3" s="77"/>
      <c r="AI3" s="77"/>
      <c r="AJ3" s="77"/>
      <c r="AK3" s="77"/>
      <c r="AL3" s="77"/>
      <c r="AM3" s="77"/>
      <c r="AN3" s="77"/>
      <c r="AO3" s="77"/>
      <c r="AP3" s="77"/>
      <c r="AQ3" s="22"/>
      <c r="AR3" s="23"/>
      <c r="AS3" s="23"/>
      <c r="AT3" s="23" t="s">
        <v>25</v>
      </c>
      <c r="AU3" s="23"/>
      <c r="AV3" s="23"/>
      <c r="AW3" s="23"/>
      <c r="AX3" s="23"/>
      <c r="AY3" s="23"/>
      <c r="AZ3" s="23"/>
      <c r="BA3" s="23"/>
      <c r="BB3" s="23"/>
      <c r="BC3" s="24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3"/>
      <c r="BW3" s="43"/>
      <c r="BX3" s="43"/>
      <c r="BY3" s="43"/>
      <c r="BZ3" s="43"/>
      <c r="CA3" s="43"/>
      <c r="CB3" s="43"/>
      <c r="CC3" s="32"/>
      <c r="CD3" s="32"/>
      <c r="CE3" s="32"/>
      <c r="CF3" s="32"/>
      <c r="CG3" s="32"/>
      <c r="CH3" s="32"/>
      <c r="CI3" s="32"/>
      <c r="CJ3" s="32"/>
      <c r="CK3" s="32"/>
      <c r="CL3" s="32"/>
      <c r="CU3" s="32"/>
      <c r="CV3" s="32"/>
      <c r="CW3" s="32"/>
      <c r="CX3" s="32"/>
      <c r="CY3" s="32"/>
      <c r="CZ3" s="32"/>
      <c r="DA3" s="32"/>
      <c r="DB3" s="32"/>
      <c r="DC3" s="32"/>
      <c r="DD3" s="32"/>
      <c r="DE3" s="32"/>
      <c r="DF3" s="32"/>
      <c r="DG3" s="32"/>
      <c r="DH3" s="32"/>
      <c r="DI3" s="32"/>
      <c r="DJ3" s="32"/>
      <c r="DK3" s="32"/>
    </row>
    <row r="4" spans="1:115" s="2" customFormat="1" ht="15" x14ac:dyDescent="0.2">
      <c r="A4" s="78"/>
      <c r="B4" s="78"/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  <c r="X4" s="78"/>
      <c r="Y4" s="78"/>
      <c r="Z4" s="78"/>
      <c r="AA4" s="78"/>
      <c r="AB4" s="78"/>
      <c r="AC4" s="78"/>
      <c r="AD4" s="78"/>
      <c r="AE4" s="78"/>
      <c r="AF4" s="78"/>
      <c r="AG4" s="78"/>
      <c r="AH4" s="78"/>
      <c r="AI4" s="78"/>
      <c r="AJ4" s="78"/>
      <c r="AK4" s="78"/>
      <c r="AL4" s="78"/>
      <c r="AM4" s="78"/>
      <c r="AN4" s="78"/>
      <c r="AO4" s="78"/>
      <c r="AP4" s="78"/>
      <c r="AQ4" s="25"/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7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  <c r="BU4" s="44"/>
      <c r="BV4" s="45"/>
      <c r="BW4" s="45"/>
      <c r="BX4" s="45"/>
      <c r="BY4" s="45"/>
      <c r="BZ4" s="45"/>
      <c r="CA4" s="45"/>
      <c r="CB4" s="45"/>
      <c r="CC4" s="33"/>
      <c r="CD4" s="33"/>
      <c r="CE4" s="33"/>
      <c r="CF4" s="33"/>
      <c r="CG4" s="33"/>
      <c r="CH4" s="33"/>
      <c r="CI4" s="33"/>
      <c r="CJ4" s="33"/>
      <c r="CK4" s="33"/>
      <c r="CL4" s="33"/>
      <c r="CU4" s="33"/>
      <c r="CV4" s="33"/>
      <c r="CW4" s="33"/>
      <c r="CX4" s="33"/>
      <c r="CY4" s="33"/>
      <c r="CZ4" s="33"/>
      <c r="DA4" s="33"/>
      <c r="DB4" s="33"/>
      <c r="DC4" s="33"/>
      <c r="DD4" s="33"/>
      <c r="DE4" s="33"/>
      <c r="DF4" s="33"/>
      <c r="DG4" s="33"/>
      <c r="DH4" s="33"/>
      <c r="DI4" s="33"/>
      <c r="DJ4" s="33"/>
      <c r="DK4" s="33"/>
    </row>
    <row r="5" spans="1:115" s="2" customFormat="1" ht="6" customHeight="1" x14ac:dyDescent="0.2">
      <c r="AQ5" s="25"/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7"/>
      <c r="BE5" s="44"/>
      <c r="BF5" s="44"/>
      <c r="BG5" s="44"/>
      <c r="BH5" s="44"/>
      <c r="BI5" s="44"/>
      <c r="BJ5" s="44"/>
      <c r="BK5" s="44"/>
      <c r="BL5" s="44"/>
      <c r="BM5" s="44"/>
      <c r="BN5" s="44"/>
      <c r="BO5" s="44"/>
      <c r="BP5" s="44"/>
      <c r="BQ5" s="44"/>
      <c r="BR5" s="44"/>
      <c r="BS5" s="44"/>
      <c r="BT5" s="44"/>
      <c r="BU5" s="44"/>
      <c r="BV5" s="45"/>
      <c r="BW5" s="45"/>
      <c r="BX5" s="45"/>
      <c r="BY5" s="45"/>
      <c r="BZ5" s="45"/>
      <c r="CA5" s="45"/>
      <c r="CB5" s="45"/>
      <c r="CC5" s="33"/>
      <c r="CD5" s="33"/>
      <c r="CE5" s="33"/>
      <c r="CF5" s="33"/>
      <c r="CG5" s="33"/>
      <c r="CH5" s="33"/>
      <c r="CI5" s="33"/>
      <c r="CJ5" s="33"/>
      <c r="CK5" s="33"/>
      <c r="CL5" s="33"/>
      <c r="CU5" s="33"/>
      <c r="CV5" s="33"/>
      <c r="CW5" s="33"/>
      <c r="CX5" s="33"/>
      <c r="CY5" s="33"/>
      <c r="CZ5" s="33"/>
      <c r="DA5" s="33"/>
      <c r="DB5" s="33"/>
      <c r="DC5" s="33"/>
      <c r="DD5" s="33"/>
      <c r="DE5" s="33"/>
      <c r="DF5" s="33"/>
      <c r="DG5" s="33"/>
      <c r="DH5" s="33"/>
      <c r="DI5" s="33"/>
      <c r="DJ5" s="33"/>
      <c r="DK5" s="33"/>
    </row>
    <row r="6" spans="1:115" s="2" customFormat="1" ht="15.75" x14ac:dyDescent="0.25">
      <c r="L6" s="3" t="s">
        <v>0</v>
      </c>
      <c r="M6" s="86" t="s">
        <v>1</v>
      </c>
      <c r="N6" s="86"/>
      <c r="O6" s="86"/>
      <c r="P6" s="86"/>
      <c r="Q6" s="86"/>
      <c r="R6" s="86"/>
      <c r="S6" s="86"/>
      <c r="T6" s="86"/>
      <c r="U6" s="2" t="s">
        <v>2</v>
      </c>
      <c r="Y6" s="87">
        <v>39312</v>
      </c>
      <c r="Z6" s="87"/>
      <c r="AA6" s="87"/>
      <c r="AB6" s="87"/>
      <c r="AC6" s="87"/>
      <c r="AD6" s="87"/>
      <c r="AE6" s="87"/>
      <c r="AF6" s="87"/>
      <c r="AQ6" s="25"/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7"/>
      <c r="BE6" s="44"/>
      <c r="BF6" s="44"/>
      <c r="BG6" s="44"/>
      <c r="BH6" s="44"/>
      <c r="BI6" s="44"/>
      <c r="BJ6" s="44"/>
      <c r="BK6" s="44"/>
      <c r="BL6" s="44"/>
      <c r="BM6" s="44"/>
      <c r="BN6" s="44"/>
      <c r="BO6" s="44"/>
      <c r="BP6" s="44"/>
      <c r="BQ6" s="44"/>
      <c r="BR6" s="44"/>
      <c r="BS6" s="44"/>
      <c r="BT6" s="44"/>
      <c r="BU6" s="44"/>
      <c r="BV6" s="45"/>
      <c r="BW6" s="45"/>
      <c r="BX6" s="45"/>
      <c r="BY6" s="45"/>
      <c r="BZ6" s="45"/>
      <c r="CA6" s="45"/>
      <c r="CB6" s="45"/>
      <c r="CC6" s="33"/>
      <c r="CD6" s="33"/>
      <c r="CE6" s="33"/>
      <c r="CF6" s="33"/>
      <c r="CG6" s="33"/>
      <c r="CH6" s="33"/>
      <c r="CI6" s="33"/>
      <c r="CJ6" s="33"/>
      <c r="CK6" s="33"/>
      <c r="CL6" s="33"/>
      <c r="CU6" s="33"/>
      <c r="CV6" s="33"/>
      <c r="CW6" s="33"/>
      <c r="CX6" s="33"/>
      <c r="CY6" s="33"/>
      <c r="CZ6" s="33"/>
      <c r="DA6" s="33"/>
      <c r="DB6" s="33"/>
      <c r="DC6" s="33"/>
      <c r="DD6" s="33"/>
      <c r="DE6" s="33"/>
      <c r="DF6" s="33"/>
      <c r="DG6" s="33"/>
      <c r="DH6" s="33"/>
      <c r="DI6" s="33"/>
      <c r="DJ6" s="33"/>
      <c r="DK6" s="33"/>
    </row>
    <row r="7" spans="1:115" s="2" customFormat="1" ht="6" customHeight="1" x14ac:dyDescent="0.2">
      <c r="AQ7" s="25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7"/>
      <c r="BE7" s="44"/>
      <c r="BF7" s="44"/>
      <c r="BG7" s="44"/>
      <c r="BH7" s="44"/>
      <c r="BI7" s="44"/>
      <c r="BJ7" s="44"/>
      <c r="BK7" s="44"/>
      <c r="BL7" s="44"/>
      <c r="BM7" s="44"/>
      <c r="BN7" s="44"/>
      <c r="BO7" s="44"/>
      <c r="BP7" s="44"/>
      <c r="BQ7" s="44"/>
      <c r="BR7" s="44"/>
      <c r="BS7" s="44"/>
      <c r="BT7" s="44"/>
      <c r="BU7" s="44"/>
      <c r="BV7" s="45"/>
      <c r="BW7" s="45"/>
      <c r="BX7" s="45"/>
      <c r="BY7" s="45"/>
      <c r="BZ7" s="45"/>
      <c r="CA7" s="45"/>
      <c r="CB7" s="45"/>
      <c r="CC7" s="33"/>
      <c r="CD7" s="33"/>
      <c r="CE7" s="33"/>
      <c r="CF7" s="33"/>
      <c r="CG7" s="33"/>
      <c r="CH7" s="33"/>
      <c r="CI7" s="33"/>
      <c r="CJ7" s="33"/>
      <c r="CK7" s="33"/>
      <c r="CL7" s="33"/>
      <c r="CU7" s="33"/>
      <c r="CV7" s="33"/>
      <c r="CW7" s="33"/>
      <c r="CX7" s="33"/>
      <c r="CY7" s="33"/>
      <c r="CZ7" s="33"/>
      <c r="DA7" s="33"/>
      <c r="DB7" s="33"/>
      <c r="DC7" s="33"/>
      <c r="DD7" s="33"/>
      <c r="DE7" s="33"/>
      <c r="DF7" s="33"/>
      <c r="DG7" s="33"/>
      <c r="DH7" s="33"/>
      <c r="DI7" s="33"/>
      <c r="DJ7" s="33"/>
      <c r="DK7" s="33"/>
    </row>
    <row r="8" spans="1:115" s="2" customFormat="1" ht="15" x14ac:dyDescent="0.2">
      <c r="B8" s="88" t="s">
        <v>40</v>
      </c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Q8" s="28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30"/>
      <c r="BE8" s="44"/>
      <c r="BF8" s="44"/>
      <c r="BG8" s="44"/>
      <c r="BH8" s="44"/>
      <c r="BI8" s="44"/>
      <c r="BJ8" s="44"/>
      <c r="BK8" s="44"/>
      <c r="BL8" s="44"/>
      <c r="BM8" s="44"/>
      <c r="BN8" s="44"/>
      <c r="BO8" s="44"/>
      <c r="BP8" s="44"/>
      <c r="BQ8" s="44"/>
      <c r="BR8" s="44"/>
      <c r="BS8" s="44"/>
      <c r="BT8" s="44"/>
      <c r="BU8" s="44"/>
      <c r="BV8" s="45"/>
      <c r="BW8" s="45"/>
      <c r="BX8" s="45"/>
      <c r="BY8" s="45"/>
      <c r="BZ8" s="45"/>
      <c r="CA8" s="45"/>
      <c r="CB8" s="45"/>
      <c r="CC8" s="33"/>
      <c r="CD8" s="33"/>
      <c r="CE8" s="33"/>
      <c r="CF8" s="33"/>
      <c r="CG8" s="33"/>
      <c r="CH8" s="33"/>
      <c r="CI8" s="33"/>
      <c r="CJ8" s="33"/>
      <c r="CK8" s="33"/>
      <c r="CL8" s="33"/>
      <c r="CU8" s="33"/>
      <c r="CV8" s="33"/>
      <c r="CW8" s="33"/>
      <c r="CX8" s="33"/>
      <c r="CY8" s="33"/>
      <c r="CZ8" s="33"/>
      <c r="DA8" s="33"/>
      <c r="DB8" s="33"/>
      <c r="DC8" s="33"/>
      <c r="DD8" s="33"/>
      <c r="DE8" s="33"/>
      <c r="DF8" s="33"/>
      <c r="DG8" s="33"/>
      <c r="DH8" s="33"/>
      <c r="DI8" s="33"/>
      <c r="DJ8" s="33"/>
      <c r="DK8" s="33"/>
    </row>
    <row r="9" spans="1:115" s="2" customFormat="1" ht="6" customHeight="1" x14ac:dyDescent="0.2">
      <c r="BE9" s="44"/>
      <c r="BF9" s="44"/>
      <c r="BG9" s="44"/>
      <c r="BH9" s="44"/>
      <c r="BI9" s="44"/>
      <c r="BJ9" s="44"/>
      <c r="BK9" s="44"/>
      <c r="BL9" s="44"/>
      <c r="BM9" s="44"/>
      <c r="BN9" s="44"/>
      <c r="BO9" s="44"/>
      <c r="BP9" s="44"/>
      <c r="BQ9" s="44"/>
      <c r="BR9" s="44"/>
      <c r="BS9" s="44"/>
      <c r="BT9" s="44"/>
      <c r="BU9" s="44"/>
      <c r="BV9" s="45"/>
      <c r="BW9" s="45"/>
      <c r="BX9" s="45"/>
      <c r="BY9" s="45"/>
      <c r="BZ9" s="45"/>
      <c r="CA9" s="45"/>
      <c r="CB9" s="45"/>
      <c r="CC9" s="33"/>
      <c r="CD9" s="33"/>
      <c r="CE9" s="33"/>
      <c r="CF9" s="33"/>
      <c r="CG9" s="33"/>
      <c r="CH9" s="33"/>
      <c r="CI9" s="33"/>
      <c r="CJ9" s="33"/>
      <c r="CK9" s="33"/>
      <c r="CL9" s="33"/>
      <c r="CU9" s="33"/>
      <c r="CV9" s="33"/>
      <c r="CW9" s="33"/>
      <c r="CX9" s="33"/>
      <c r="CY9" s="33"/>
      <c r="CZ9" s="33"/>
      <c r="DA9" s="33"/>
      <c r="DB9" s="33"/>
      <c r="DC9" s="33"/>
      <c r="DD9" s="33"/>
      <c r="DE9" s="33"/>
      <c r="DF9" s="33"/>
      <c r="DG9" s="33"/>
      <c r="DH9" s="33"/>
      <c r="DI9" s="33"/>
      <c r="DJ9" s="33"/>
      <c r="DK9" s="33"/>
    </row>
    <row r="10" spans="1:115" s="2" customFormat="1" ht="15.75" x14ac:dyDescent="0.25">
      <c r="G10" s="6" t="s">
        <v>3</v>
      </c>
      <c r="H10" s="130">
        <v>0.625</v>
      </c>
      <c r="I10" s="130"/>
      <c r="J10" s="130"/>
      <c r="K10" s="130"/>
      <c r="L10" s="130"/>
      <c r="M10" s="7" t="s">
        <v>4</v>
      </c>
      <c r="T10" s="6" t="s">
        <v>5</v>
      </c>
      <c r="U10" s="83">
        <v>2</v>
      </c>
      <c r="V10" s="83" t="s">
        <v>6</v>
      </c>
      <c r="W10" s="18" t="s">
        <v>26</v>
      </c>
      <c r="X10" s="82">
        <v>5.208333333333333E-3</v>
      </c>
      <c r="Y10" s="82"/>
      <c r="Z10" s="82"/>
      <c r="AA10" s="82"/>
      <c r="AB10" s="82"/>
      <c r="AC10" s="7" t="s">
        <v>7</v>
      </c>
      <c r="AK10" s="6" t="s">
        <v>8</v>
      </c>
      <c r="AL10" s="82">
        <v>0</v>
      </c>
      <c r="AM10" s="82"/>
      <c r="AN10" s="82"/>
      <c r="AO10" s="82"/>
      <c r="AP10" s="82"/>
      <c r="AQ10" s="7" t="s">
        <v>7</v>
      </c>
      <c r="BE10" s="44"/>
      <c r="BF10" s="44"/>
      <c r="BG10" s="44"/>
      <c r="BH10" s="44"/>
      <c r="BI10" s="44"/>
      <c r="BJ10" s="44"/>
      <c r="BK10" s="44"/>
      <c r="BL10" s="44"/>
      <c r="BM10" s="44"/>
      <c r="BN10" s="44"/>
      <c r="BO10" s="44"/>
      <c r="BP10" s="44"/>
      <c r="BQ10" s="44"/>
      <c r="BR10" s="44"/>
      <c r="BS10" s="44"/>
      <c r="BT10" s="44"/>
      <c r="BU10" s="44"/>
      <c r="BV10" s="45"/>
      <c r="BW10" s="45"/>
      <c r="BX10" s="45"/>
      <c r="BY10" s="45"/>
      <c r="BZ10" s="45"/>
      <c r="CA10" s="45"/>
      <c r="CB10" s="45"/>
      <c r="CC10" s="33"/>
      <c r="CD10" s="33"/>
      <c r="CE10" s="33"/>
      <c r="CF10" s="33"/>
      <c r="CG10" s="33"/>
      <c r="CH10" s="33"/>
      <c r="CI10" s="33"/>
      <c r="CJ10" s="33"/>
      <c r="CK10" s="33"/>
      <c r="CL10" s="33"/>
      <c r="CU10" s="33"/>
      <c r="CV10" s="33"/>
      <c r="CW10" s="33"/>
      <c r="CX10" s="33"/>
      <c r="CY10" s="33"/>
      <c r="CZ10" s="33"/>
      <c r="DA10" s="33"/>
      <c r="DB10" s="33"/>
      <c r="DC10" s="33"/>
      <c r="DD10" s="33"/>
      <c r="DE10" s="33"/>
      <c r="DF10" s="33"/>
      <c r="DG10" s="33"/>
      <c r="DH10" s="33"/>
      <c r="DI10" s="33"/>
      <c r="DJ10" s="33"/>
      <c r="DK10" s="33"/>
    </row>
    <row r="11" spans="1:115" ht="9" customHeight="1" x14ac:dyDescent="0.2"/>
    <row r="12" spans="1:115" ht="6" customHeight="1" x14ac:dyDescent="0.2"/>
    <row r="13" spans="1:115" x14ac:dyDescent="0.2">
      <c r="B13" s="1" t="s">
        <v>9</v>
      </c>
    </row>
    <row r="14" spans="1:115" ht="6" customHeight="1" thickBot="1" x14ac:dyDescent="0.25"/>
    <row r="15" spans="1:115" ht="16.5" thickBot="1" x14ac:dyDescent="0.3">
      <c r="N15" s="79" t="s">
        <v>30</v>
      </c>
      <c r="O15" s="80"/>
      <c r="P15" s="80"/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  <c r="AD15" s="80"/>
      <c r="AE15" s="80"/>
      <c r="AF15" s="80"/>
      <c r="AG15" s="80"/>
      <c r="AH15" s="80"/>
      <c r="AI15" s="80"/>
      <c r="AJ15" s="81"/>
      <c r="AK15" s="84"/>
      <c r="AL15" s="85"/>
    </row>
    <row r="16" spans="1:115" ht="15" x14ac:dyDescent="0.2">
      <c r="N16" s="143" t="s">
        <v>10</v>
      </c>
      <c r="O16" s="144"/>
      <c r="P16" s="137" t="s">
        <v>33</v>
      </c>
      <c r="Q16" s="137"/>
      <c r="R16" s="137"/>
      <c r="S16" s="137"/>
      <c r="T16" s="137"/>
      <c r="U16" s="137"/>
      <c r="V16" s="137"/>
      <c r="W16" s="137"/>
      <c r="X16" s="137"/>
      <c r="Y16" s="137"/>
      <c r="Z16" s="137"/>
      <c r="AA16" s="137"/>
      <c r="AB16" s="137"/>
      <c r="AC16" s="137"/>
      <c r="AD16" s="137"/>
      <c r="AE16" s="137"/>
      <c r="AF16" s="137"/>
      <c r="AG16" s="137"/>
      <c r="AH16" s="137"/>
      <c r="AI16" s="137"/>
      <c r="AJ16" s="138"/>
      <c r="AK16" s="133"/>
      <c r="AL16" s="134"/>
    </row>
    <row r="17" spans="2:116" ht="15" x14ac:dyDescent="0.2">
      <c r="N17" s="145" t="s">
        <v>11</v>
      </c>
      <c r="O17" s="146"/>
      <c r="P17" s="139" t="s">
        <v>34</v>
      </c>
      <c r="Q17" s="139"/>
      <c r="R17" s="139"/>
      <c r="S17" s="139"/>
      <c r="T17" s="139"/>
      <c r="U17" s="139"/>
      <c r="V17" s="139"/>
      <c r="W17" s="139"/>
      <c r="X17" s="139"/>
      <c r="Y17" s="139"/>
      <c r="Z17" s="139"/>
      <c r="AA17" s="139"/>
      <c r="AB17" s="139"/>
      <c r="AC17" s="139"/>
      <c r="AD17" s="139"/>
      <c r="AE17" s="139"/>
      <c r="AF17" s="139"/>
      <c r="AG17" s="139"/>
      <c r="AH17" s="139"/>
      <c r="AI17" s="139"/>
      <c r="AJ17" s="140"/>
      <c r="AK17" s="131"/>
      <c r="AL17" s="132"/>
    </row>
    <row r="18" spans="2:116" ht="15" x14ac:dyDescent="0.2">
      <c r="N18" s="145" t="s">
        <v>12</v>
      </c>
      <c r="O18" s="146"/>
      <c r="P18" s="139" t="s">
        <v>35</v>
      </c>
      <c r="Q18" s="139"/>
      <c r="R18" s="139"/>
      <c r="S18" s="139"/>
      <c r="T18" s="139"/>
      <c r="U18" s="139"/>
      <c r="V18" s="139"/>
      <c r="W18" s="139"/>
      <c r="X18" s="139"/>
      <c r="Y18" s="139"/>
      <c r="Z18" s="139"/>
      <c r="AA18" s="139"/>
      <c r="AB18" s="139"/>
      <c r="AC18" s="139"/>
      <c r="AD18" s="139"/>
      <c r="AE18" s="139"/>
      <c r="AF18" s="139"/>
      <c r="AG18" s="139"/>
      <c r="AH18" s="139"/>
      <c r="AI18" s="139"/>
      <c r="AJ18" s="140"/>
      <c r="AK18" s="131"/>
      <c r="AL18" s="132"/>
    </row>
    <row r="19" spans="2:116" ht="15" x14ac:dyDescent="0.2">
      <c r="N19" s="145" t="s">
        <v>13</v>
      </c>
      <c r="O19" s="146"/>
      <c r="P19" s="139" t="s">
        <v>36</v>
      </c>
      <c r="Q19" s="139"/>
      <c r="R19" s="139"/>
      <c r="S19" s="139"/>
      <c r="T19" s="139"/>
      <c r="U19" s="139"/>
      <c r="V19" s="139"/>
      <c r="W19" s="139"/>
      <c r="X19" s="139"/>
      <c r="Y19" s="139"/>
      <c r="Z19" s="139"/>
      <c r="AA19" s="139"/>
      <c r="AB19" s="139"/>
      <c r="AC19" s="139"/>
      <c r="AD19" s="139"/>
      <c r="AE19" s="139"/>
      <c r="AF19" s="139"/>
      <c r="AG19" s="139"/>
      <c r="AH19" s="139"/>
      <c r="AI19" s="139"/>
      <c r="AJ19" s="140"/>
      <c r="AK19" s="131"/>
      <c r="AL19" s="132"/>
    </row>
    <row r="20" spans="2:116" ht="15.75" thickBot="1" x14ac:dyDescent="0.25">
      <c r="N20" s="135" t="s">
        <v>14</v>
      </c>
      <c r="O20" s="136"/>
      <c r="P20" s="141" t="s">
        <v>37</v>
      </c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41"/>
      <c r="AC20" s="141"/>
      <c r="AD20" s="141"/>
      <c r="AE20" s="141"/>
      <c r="AF20" s="141"/>
      <c r="AG20" s="141"/>
      <c r="AH20" s="141"/>
      <c r="AI20" s="141"/>
      <c r="AJ20" s="142"/>
      <c r="AK20" s="147"/>
      <c r="AL20" s="148"/>
    </row>
    <row r="22" spans="2:116" x14ac:dyDescent="0.2">
      <c r="B22" s="1" t="s">
        <v>32</v>
      </c>
    </row>
    <row r="23" spans="2:116" ht="6" customHeight="1" thickBot="1" x14ac:dyDescent="0.25"/>
    <row r="24" spans="2:116" s="4" customFormat="1" ht="16.5" customHeight="1" thickBot="1" x14ac:dyDescent="0.25">
      <c r="B24" s="95" t="s">
        <v>15</v>
      </c>
      <c r="C24" s="96"/>
      <c r="D24" s="97" t="s">
        <v>27</v>
      </c>
      <c r="E24" s="98"/>
      <c r="F24" s="99"/>
      <c r="G24" s="97"/>
      <c r="H24" s="98"/>
      <c r="I24" s="99"/>
      <c r="J24" s="97" t="s">
        <v>16</v>
      </c>
      <c r="K24" s="98"/>
      <c r="L24" s="98"/>
      <c r="M24" s="98"/>
      <c r="N24" s="99"/>
      <c r="O24" s="97" t="s">
        <v>17</v>
      </c>
      <c r="P24" s="98"/>
      <c r="Q24" s="98"/>
      <c r="R24" s="98"/>
      <c r="S24" s="98"/>
      <c r="T24" s="98"/>
      <c r="U24" s="98"/>
      <c r="V24" s="98"/>
      <c r="W24" s="98"/>
      <c r="X24" s="98"/>
      <c r="Y24" s="98"/>
      <c r="Z24" s="98"/>
      <c r="AA24" s="98"/>
      <c r="AB24" s="98"/>
      <c r="AC24" s="98"/>
      <c r="AD24" s="98"/>
      <c r="AE24" s="98"/>
      <c r="AF24" s="98"/>
      <c r="AG24" s="98"/>
      <c r="AH24" s="98"/>
      <c r="AI24" s="98"/>
      <c r="AJ24" s="98"/>
      <c r="AK24" s="98"/>
      <c r="AL24" s="98"/>
      <c r="AM24" s="98"/>
      <c r="AN24" s="98"/>
      <c r="AO24" s="98"/>
      <c r="AP24" s="98"/>
      <c r="AQ24" s="98"/>
      <c r="AR24" s="98"/>
      <c r="AS24" s="98"/>
      <c r="AT24" s="98"/>
      <c r="AU24" s="98"/>
      <c r="AV24" s="99"/>
      <c r="AW24" s="97" t="s">
        <v>20</v>
      </c>
      <c r="AX24" s="98"/>
      <c r="AY24" s="98"/>
      <c r="AZ24" s="98"/>
      <c r="BA24" s="99"/>
      <c r="BB24" s="149"/>
      <c r="BC24" s="150"/>
      <c r="BD24" s="58"/>
      <c r="BE24" s="46"/>
      <c r="BF24" s="47" t="s">
        <v>24</v>
      </c>
      <c r="BG24" s="48"/>
      <c r="BH24" s="48"/>
      <c r="BI24" s="46"/>
      <c r="BJ24" s="46"/>
      <c r="BK24" s="46"/>
      <c r="BL24" s="46"/>
      <c r="BM24" s="46"/>
      <c r="BN24" s="46"/>
      <c r="BO24" s="46"/>
      <c r="BP24" s="46"/>
      <c r="BQ24" s="46"/>
      <c r="BR24" s="46"/>
      <c r="BS24" s="46"/>
      <c r="BT24" s="46"/>
      <c r="BU24" s="46"/>
      <c r="BV24" s="49"/>
      <c r="BW24" s="49"/>
      <c r="BX24" s="49"/>
      <c r="BY24" s="49"/>
      <c r="BZ24" s="49"/>
      <c r="CA24" s="49"/>
      <c r="CB24" s="49"/>
      <c r="CC24" s="34"/>
      <c r="CD24" s="34"/>
      <c r="CE24" s="34"/>
      <c r="CF24" s="34"/>
      <c r="CG24" s="34"/>
      <c r="CH24" s="34"/>
      <c r="CI24" s="34"/>
      <c r="CJ24" s="34"/>
      <c r="CK24" s="34"/>
      <c r="CL24" s="34"/>
      <c r="CM24" s="58"/>
      <c r="CN24" s="58"/>
      <c r="CO24" s="58"/>
      <c r="CP24" s="58"/>
      <c r="CQ24" s="58"/>
      <c r="CR24" s="58"/>
      <c r="CS24" s="58"/>
      <c r="CT24" s="58"/>
      <c r="CU24" s="34"/>
      <c r="CV24" s="34"/>
      <c r="CW24" s="34"/>
      <c r="CX24" s="34"/>
      <c r="CY24" s="34"/>
      <c r="CZ24" s="34"/>
      <c r="DA24" s="34"/>
      <c r="DB24" s="34"/>
      <c r="DC24" s="34"/>
      <c r="DD24" s="34"/>
      <c r="DE24" s="34"/>
      <c r="DF24" s="34"/>
      <c r="DG24" s="34"/>
      <c r="DH24" s="34"/>
      <c r="DI24" s="34"/>
      <c r="DJ24" s="34"/>
      <c r="DK24" s="34"/>
      <c r="DL24" s="58"/>
    </row>
    <row r="25" spans="2:116" s="5" customFormat="1" ht="18" customHeight="1" x14ac:dyDescent="0.2">
      <c r="B25" s="93">
        <v>1</v>
      </c>
      <c r="C25" s="94"/>
      <c r="D25" s="94">
        <v>1</v>
      </c>
      <c r="E25" s="94"/>
      <c r="F25" s="94"/>
      <c r="G25" s="94"/>
      <c r="H25" s="94"/>
      <c r="I25" s="94"/>
      <c r="J25" s="128">
        <f>$H$10</f>
        <v>0.625</v>
      </c>
      <c r="K25" s="128"/>
      <c r="L25" s="128"/>
      <c r="M25" s="128"/>
      <c r="N25" s="129"/>
      <c r="O25" s="71" t="str">
        <f>P16</f>
        <v>Oschwand</v>
      </c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  <c r="AA25" s="72"/>
      <c r="AB25" s="72"/>
      <c r="AC25" s="72"/>
      <c r="AD25" s="72"/>
      <c r="AE25" s="12" t="s">
        <v>19</v>
      </c>
      <c r="AF25" s="72" t="str">
        <f>P17</f>
        <v>Bethli</v>
      </c>
      <c r="AG25" s="72"/>
      <c r="AH25" s="72"/>
      <c r="AI25" s="72"/>
      <c r="AJ25" s="72"/>
      <c r="AK25" s="72"/>
      <c r="AL25" s="72"/>
      <c r="AM25" s="72"/>
      <c r="AN25" s="72"/>
      <c r="AO25" s="72"/>
      <c r="AP25" s="72"/>
      <c r="AQ25" s="72"/>
      <c r="AR25" s="72"/>
      <c r="AS25" s="72"/>
      <c r="AT25" s="72"/>
      <c r="AU25" s="72"/>
      <c r="AV25" s="73"/>
      <c r="AW25" s="116">
        <v>1</v>
      </c>
      <c r="AX25" s="117"/>
      <c r="AY25" s="12" t="s">
        <v>18</v>
      </c>
      <c r="AZ25" s="117">
        <v>1</v>
      </c>
      <c r="BA25" s="126"/>
      <c r="BB25" s="116"/>
      <c r="BC25" s="125"/>
      <c r="BE25" s="46"/>
      <c r="BF25" s="50">
        <f>#N/A</f>
        <v>1</v>
      </c>
      <c r="BG25" s="50" t="s">
        <v>18</v>
      </c>
      <c r="BH25" s="50">
        <f>#N/A</f>
        <v>1</v>
      </c>
      <c r="BI25" s="46"/>
      <c r="BJ25" s="46"/>
      <c r="BK25" s="46"/>
      <c r="BL25" s="46"/>
      <c r="BM25" s="54" t="str">
        <f>$P$18</f>
        <v>Dream Team</v>
      </c>
      <c r="BN25" s="52">
        <f>COUNT($BF$26,$BH$28,$BH$30,$BF$32)</f>
        <v>4</v>
      </c>
      <c r="BO25" s="52">
        <f>SUM($BF$26+$BH$28+$BH$30+$BF$32)</f>
        <v>10</v>
      </c>
      <c r="BP25" s="52">
        <f>SUM($AW$26+$AZ$28+$AZ$30+$AW$32)</f>
        <v>7</v>
      </c>
      <c r="BQ25" s="53" t="s">
        <v>18</v>
      </c>
      <c r="BR25" s="52">
        <f>SUM($AZ$26+$AW$28+$AW$30+$AZ$32)</f>
        <v>3</v>
      </c>
      <c r="BS25" s="52">
        <f>SUM(BP25-BR25)</f>
        <v>4</v>
      </c>
      <c r="BT25" s="46"/>
      <c r="BU25" s="46"/>
      <c r="BV25" s="49"/>
      <c r="BW25" s="49"/>
      <c r="BX25" s="49"/>
      <c r="BY25" s="49"/>
      <c r="BZ25" s="49"/>
      <c r="CA25" s="49"/>
      <c r="CB25" s="49"/>
      <c r="CC25" s="35"/>
      <c r="CD25" s="35"/>
      <c r="CE25" s="35"/>
      <c r="CF25" s="35"/>
      <c r="CG25" s="35"/>
      <c r="CH25" s="35"/>
      <c r="CI25" s="35"/>
      <c r="CJ25" s="35"/>
      <c r="CK25" s="35"/>
      <c r="CL25" s="35"/>
      <c r="CU25" s="35"/>
      <c r="CV25" s="35"/>
      <c r="CW25" s="35"/>
      <c r="CX25" s="35"/>
      <c r="CY25" s="35"/>
      <c r="CZ25" s="35"/>
      <c r="DA25" s="35"/>
      <c r="DB25" s="35"/>
      <c r="DC25" s="35"/>
      <c r="DD25" s="35"/>
      <c r="DE25" s="35"/>
      <c r="DF25" s="35"/>
      <c r="DG25" s="35"/>
      <c r="DH25" s="35"/>
      <c r="DI25" s="35"/>
      <c r="DJ25" s="35"/>
      <c r="DK25" s="35"/>
    </row>
    <row r="26" spans="2:116" s="4" customFormat="1" ht="18" customHeight="1" thickBot="1" x14ac:dyDescent="0.25">
      <c r="B26" s="127">
        <v>2</v>
      </c>
      <c r="C26" s="118"/>
      <c r="D26" s="118">
        <v>1</v>
      </c>
      <c r="E26" s="118"/>
      <c r="F26" s="118"/>
      <c r="G26" s="118"/>
      <c r="H26" s="118"/>
      <c r="I26" s="118"/>
      <c r="J26" s="89">
        <f>#N/A</f>
        <v>0.63541666666666663</v>
      </c>
      <c r="K26" s="89"/>
      <c r="L26" s="89"/>
      <c r="M26" s="89"/>
      <c r="N26" s="90"/>
      <c r="O26" s="91" t="str">
        <f>P18</f>
        <v>Dream Team</v>
      </c>
      <c r="P26" s="92"/>
      <c r="Q26" s="92"/>
      <c r="R26" s="92"/>
      <c r="S26" s="92"/>
      <c r="T26" s="92"/>
      <c r="U26" s="92"/>
      <c r="V26" s="92"/>
      <c r="W26" s="92"/>
      <c r="X26" s="92"/>
      <c r="Y26" s="92"/>
      <c r="Z26" s="92"/>
      <c r="AA26" s="92"/>
      <c r="AB26" s="92"/>
      <c r="AC26" s="92"/>
      <c r="AD26" s="92"/>
      <c r="AE26" s="8" t="s">
        <v>19</v>
      </c>
      <c r="AF26" s="92" t="str">
        <f>P19</f>
        <v>Blasi Hasi</v>
      </c>
      <c r="AG26" s="92"/>
      <c r="AH26" s="92"/>
      <c r="AI26" s="92"/>
      <c r="AJ26" s="92"/>
      <c r="AK26" s="92"/>
      <c r="AL26" s="92"/>
      <c r="AM26" s="92"/>
      <c r="AN26" s="92"/>
      <c r="AO26" s="92"/>
      <c r="AP26" s="92"/>
      <c r="AQ26" s="92"/>
      <c r="AR26" s="92"/>
      <c r="AS26" s="92"/>
      <c r="AT26" s="92"/>
      <c r="AU26" s="92"/>
      <c r="AV26" s="124"/>
      <c r="AW26" s="114">
        <v>2</v>
      </c>
      <c r="AX26" s="122"/>
      <c r="AY26" s="8" t="s">
        <v>18</v>
      </c>
      <c r="AZ26" s="122">
        <v>1</v>
      </c>
      <c r="BA26" s="123"/>
      <c r="BB26" s="114"/>
      <c r="BC26" s="115"/>
      <c r="BD26" s="58"/>
      <c r="BE26" s="46"/>
      <c r="BF26" s="50">
        <f>#N/A</f>
        <v>3</v>
      </c>
      <c r="BG26" s="50" t="s">
        <v>18</v>
      </c>
      <c r="BH26" s="50">
        <f>#N/A</f>
        <v>0</v>
      </c>
      <c r="BI26" s="46"/>
      <c r="BJ26" s="46"/>
      <c r="BK26" s="46"/>
      <c r="BL26" s="46"/>
      <c r="BM26" s="54" t="str">
        <f>$P$17</f>
        <v>Bethli</v>
      </c>
      <c r="BN26" s="52">
        <f>COUNT($BH$25,$BF$28,$BF$31,$BH$34)</f>
        <v>4</v>
      </c>
      <c r="BO26" s="52">
        <f>SUM($BH$25+$BF$28+$BF$31+$BH$34)</f>
        <v>5</v>
      </c>
      <c r="BP26" s="52">
        <f>SUM($AZ$25+$AW$28+$AW$31+$AZ$34)</f>
        <v>8</v>
      </c>
      <c r="BQ26" s="53" t="s">
        <v>18</v>
      </c>
      <c r="BR26" s="52">
        <f>SUM($AW$25+$AZ$28+$AZ$31+$AW$34)</f>
        <v>7</v>
      </c>
      <c r="BS26" s="52">
        <f>SUM(BP26-BR26)</f>
        <v>1</v>
      </c>
      <c r="BT26" s="46"/>
      <c r="BU26" s="46"/>
      <c r="BV26" s="49"/>
      <c r="BW26" s="49"/>
      <c r="BX26" s="49"/>
      <c r="BY26" s="49"/>
      <c r="BZ26" s="49"/>
      <c r="CA26" s="49"/>
      <c r="CB26" s="49"/>
      <c r="CC26" s="34"/>
      <c r="CD26" s="34"/>
      <c r="CE26" s="34"/>
      <c r="CF26" s="34"/>
      <c r="CG26" s="34"/>
      <c r="CH26" s="34"/>
      <c r="CI26" s="34"/>
      <c r="CJ26" s="34"/>
      <c r="CK26" s="34"/>
      <c r="CL26" s="34"/>
      <c r="CM26" s="58"/>
      <c r="CN26" s="58"/>
      <c r="CO26" s="58"/>
      <c r="CP26" s="58"/>
      <c r="CQ26" s="58"/>
      <c r="CR26" s="58"/>
      <c r="CS26" s="58"/>
      <c r="CT26" s="58"/>
      <c r="CU26" s="34"/>
      <c r="CV26" s="34"/>
      <c r="CW26" s="34"/>
      <c r="CX26" s="34"/>
      <c r="CY26" s="34"/>
      <c r="CZ26" s="34"/>
      <c r="DA26" s="34"/>
      <c r="DB26" s="34"/>
      <c r="DC26" s="34"/>
      <c r="DD26" s="34"/>
      <c r="DE26" s="34"/>
      <c r="DF26" s="34"/>
      <c r="DG26" s="34"/>
      <c r="DH26" s="34"/>
      <c r="DI26" s="34"/>
      <c r="DJ26" s="34"/>
      <c r="DK26" s="34"/>
      <c r="DL26" s="58"/>
    </row>
    <row r="27" spans="2:116" s="4" customFormat="1" ht="18" customHeight="1" x14ac:dyDescent="0.2">
      <c r="B27" s="93">
        <v>3</v>
      </c>
      <c r="C27" s="94"/>
      <c r="D27" s="94">
        <v>1</v>
      </c>
      <c r="E27" s="94"/>
      <c r="F27" s="94"/>
      <c r="G27" s="94"/>
      <c r="H27" s="94"/>
      <c r="I27" s="94"/>
      <c r="J27" s="74">
        <f>#N/A</f>
        <v>0.64583333333333326</v>
      </c>
      <c r="K27" s="74"/>
      <c r="L27" s="74"/>
      <c r="M27" s="74"/>
      <c r="N27" s="75"/>
      <c r="O27" s="71" t="str">
        <f>P20</f>
        <v>Mach di vom Acher</v>
      </c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  <c r="AA27" s="72"/>
      <c r="AB27" s="72"/>
      <c r="AC27" s="72"/>
      <c r="AD27" s="72"/>
      <c r="AE27" s="12" t="s">
        <v>19</v>
      </c>
      <c r="AF27" s="72" t="str">
        <f>P16</f>
        <v>Oschwand</v>
      </c>
      <c r="AG27" s="72"/>
      <c r="AH27" s="72"/>
      <c r="AI27" s="72"/>
      <c r="AJ27" s="72"/>
      <c r="AK27" s="72"/>
      <c r="AL27" s="72"/>
      <c r="AM27" s="72"/>
      <c r="AN27" s="72"/>
      <c r="AO27" s="72"/>
      <c r="AP27" s="72"/>
      <c r="AQ27" s="72"/>
      <c r="AR27" s="72"/>
      <c r="AS27" s="72"/>
      <c r="AT27" s="72"/>
      <c r="AU27" s="72"/>
      <c r="AV27" s="73"/>
      <c r="AW27" s="116">
        <v>2</v>
      </c>
      <c r="AX27" s="117"/>
      <c r="AY27" s="12" t="s">
        <v>18</v>
      </c>
      <c r="AZ27" s="117">
        <v>0</v>
      </c>
      <c r="BA27" s="126"/>
      <c r="BB27" s="116"/>
      <c r="BC27" s="125"/>
      <c r="BD27" s="58"/>
      <c r="BE27" s="46"/>
      <c r="BF27" s="50">
        <f>#N/A</f>
        <v>3</v>
      </c>
      <c r="BG27" s="50" t="s">
        <v>18</v>
      </c>
      <c r="BH27" s="50">
        <f>#N/A</f>
        <v>0</v>
      </c>
      <c r="BI27" s="46"/>
      <c r="BJ27" s="46"/>
      <c r="BK27" s="46"/>
      <c r="BL27" s="46"/>
      <c r="BM27" s="54" t="str">
        <f>$P$19</f>
        <v>Blasi Hasi</v>
      </c>
      <c r="BN27" s="52">
        <f>COUNT($BH$26,$BF$29,$BH$31,$BF$33)</f>
        <v>4</v>
      </c>
      <c r="BO27" s="52">
        <f>SUM($BH$26+$BF$29+$BH$31+$BF$33)</f>
        <v>5</v>
      </c>
      <c r="BP27" s="52">
        <f>SUM($AZ$26+$AW$29+$AZ$31+$AW$33)</f>
        <v>7</v>
      </c>
      <c r="BQ27" s="53" t="s">
        <v>18</v>
      </c>
      <c r="BR27" s="52">
        <f>SUM($AW$26+$AZ$29+$AW$31+$AZ$33)</f>
        <v>7</v>
      </c>
      <c r="BS27" s="52">
        <f>SUM(BP27-BR27)</f>
        <v>0</v>
      </c>
      <c r="BT27" s="46"/>
      <c r="BU27" s="46"/>
      <c r="BV27" s="49"/>
      <c r="BW27" s="49"/>
      <c r="BX27" s="49"/>
      <c r="BY27" s="49"/>
      <c r="BZ27" s="49"/>
      <c r="CA27" s="49"/>
      <c r="CB27" s="49"/>
      <c r="CC27" s="34"/>
      <c r="CD27" s="34"/>
      <c r="CE27" s="34"/>
      <c r="CF27" s="34"/>
      <c r="CG27" s="34"/>
      <c r="CH27" s="34"/>
      <c r="CI27" s="34"/>
      <c r="CJ27" s="34"/>
      <c r="CK27" s="34"/>
      <c r="CL27" s="34"/>
      <c r="CM27" s="58"/>
      <c r="CN27" s="58"/>
      <c r="CO27" s="58"/>
      <c r="CP27" s="58"/>
      <c r="CQ27" s="58"/>
      <c r="CR27" s="58"/>
      <c r="CS27" s="58"/>
      <c r="CT27" s="58"/>
      <c r="CU27" s="34"/>
      <c r="CV27" s="34"/>
      <c r="CW27" s="34"/>
      <c r="CX27" s="34"/>
      <c r="CY27" s="34"/>
      <c r="CZ27" s="34"/>
      <c r="DA27" s="34"/>
      <c r="DB27" s="34"/>
      <c r="DC27" s="34"/>
      <c r="DD27" s="34"/>
      <c r="DE27" s="34"/>
      <c r="DF27" s="34"/>
      <c r="DG27" s="34"/>
      <c r="DH27" s="34"/>
      <c r="DI27" s="34"/>
      <c r="DJ27" s="34"/>
      <c r="DK27" s="34"/>
      <c r="DL27" s="58"/>
    </row>
    <row r="28" spans="2:116" s="4" customFormat="1" ht="18" customHeight="1" thickBot="1" x14ac:dyDescent="0.25">
      <c r="B28" s="127">
        <v>4</v>
      </c>
      <c r="C28" s="118"/>
      <c r="D28" s="118">
        <v>1</v>
      </c>
      <c r="E28" s="118"/>
      <c r="F28" s="118"/>
      <c r="G28" s="118"/>
      <c r="H28" s="118"/>
      <c r="I28" s="118"/>
      <c r="J28" s="89">
        <f>#N/A</f>
        <v>0.65624999999999989</v>
      </c>
      <c r="K28" s="89"/>
      <c r="L28" s="89"/>
      <c r="M28" s="89"/>
      <c r="N28" s="90"/>
      <c r="O28" s="91" t="str">
        <f>P17</f>
        <v>Bethli</v>
      </c>
      <c r="P28" s="92"/>
      <c r="Q28" s="92"/>
      <c r="R28" s="92"/>
      <c r="S28" s="92"/>
      <c r="T28" s="92"/>
      <c r="U28" s="92"/>
      <c r="V28" s="92"/>
      <c r="W28" s="92"/>
      <c r="X28" s="92"/>
      <c r="Y28" s="92"/>
      <c r="Z28" s="92"/>
      <c r="AA28" s="92"/>
      <c r="AB28" s="92"/>
      <c r="AC28" s="92"/>
      <c r="AD28" s="92"/>
      <c r="AE28" s="8" t="s">
        <v>19</v>
      </c>
      <c r="AF28" s="92" t="str">
        <f>P18</f>
        <v>Dream Team</v>
      </c>
      <c r="AG28" s="92"/>
      <c r="AH28" s="92"/>
      <c r="AI28" s="92"/>
      <c r="AJ28" s="92"/>
      <c r="AK28" s="92"/>
      <c r="AL28" s="92"/>
      <c r="AM28" s="92"/>
      <c r="AN28" s="92"/>
      <c r="AO28" s="92"/>
      <c r="AP28" s="92"/>
      <c r="AQ28" s="92"/>
      <c r="AR28" s="92"/>
      <c r="AS28" s="92"/>
      <c r="AT28" s="92"/>
      <c r="AU28" s="92"/>
      <c r="AV28" s="124"/>
      <c r="AW28" s="114">
        <v>1</v>
      </c>
      <c r="AX28" s="122"/>
      <c r="AY28" s="8" t="s">
        <v>18</v>
      </c>
      <c r="AZ28" s="122">
        <v>1</v>
      </c>
      <c r="BA28" s="123"/>
      <c r="BB28" s="114"/>
      <c r="BC28" s="115"/>
      <c r="BD28" s="58"/>
      <c r="BE28" s="46"/>
      <c r="BF28" s="50">
        <f>#N/A</f>
        <v>1</v>
      </c>
      <c r="BG28" s="50" t="s">
        <v>18</v>
      </c>
      <c r="BH28" s="50">
        <f>#N/A</f>
        <v>1</v>
      </c>
      <c r="BI28" s="46"/>
      <c r="BJ28" s="46"/>
      <c r="BK28" s="46"/>
      <c r="BL28" s="46"/>
      <c r="BM28" s="54" t="str">
        <f>$P$20</f>
        <v>Mach di vom Acher</v>
      </c>
      <c r="BN28" s="52">
        <f>COUNT($BF$27,$BH$29,$BH$32,$BF$34)</f>
        <v>4</v>
      </c>
      <c r="BO28" s="52">
        <f>SUM($BF$27+$BH$29+$BH$32+$BF$34)</f>
        <v>4</v>
      </c>
      <c r="BP28" s="52">
        <f>SUM($AW$27+$AZ$29+$AZ$32+$AW$34)</f>
        <v>6</v>
      </c>
      <c r="BQ28" s="53" t="s">
        <v>18</v>
      </c>
      <c r="BR28" s="52">
        <f>SUM($AZ$27+$AW$29+$AW$32+$AZ$34)</f>
        <v>8</v>
      </c>
      <c r="BS28" s="52">
        <f>SUM(BP28-BR28)</f>
        <v>-2</v>
      </c>
      <c r="BT28" s="46"/>
      <c r="BU28" s="46"/>
      <c r="BV28" s="49"/>
      <c r="BW28" s="49"/>
      <c r="BX28" s="49"/>
      <c r="BY28" s="49"/>
      <c r="BZ28" s="49"/>
      <c r="CA28" s="49"/>
      <c r="CB28" s="49"/>
      <c r="CC28" s="34"/>
      <c r="CD28" s="34"/>
      <c r="CE28" s="34"/>
      <c r="CF28" s="34"/>
      <c r="CG28" s="34"/>
      <c r="CH28" s="34"/>
      <c r="CI28" s="34"/>
      <c r="CJ28" s="34"/>
      <c r="CK28" s="34"/>
      <c r="CL28" s="34"/>
      <c r="CM28" s="58"/>
      <c r="CN28" s="58"/>
      <c r="CO28" s="58"/>
      <c r="CP28" s="58"/>
      <c r="CQ28" s="58"/>
      <c r="CR28" s="58"/>
      <c r="CS28" s="58"/>
      <c r="CT28" s="58"/>
      <c r="CU28" s="34"/>
      <c r="CV28" s="34"/>
      <c r="CW28" s="34"/>
      <c r="CX28" s="34"/>
      <c r="CY28" s="34"/>
      <c r="CZ28" s="34"/>
      <c r="DA28" s="34"/>
      <c r="DB28" s="34"/>
      <c r="DC28" s="34"/>
      <c r="DD28" s="34"/>
      <c r="DE28" s="34"/>
      <c r="DF28" s="34"/>
      <c r="DG28" s="34"/>
      <c r="DH28" s="34"/>
      <c r="DI28" s="34"/>
      <c r="DJ28" s="34"/>
      <c r="DK28" s="34"/>
      <c r="DL28" s="58"/>
    </row>
    <row r="29" spans="2:116" s="4" customFormat="1" ht="18" customHeight="1" x14ac:dyDescent="0.2">
      <c r="B29" s="93">
        <v>5</v>
      </c>
      <c r="C29" s="94"/>
      <c r="D29" s="94">
        <v>1</v>
      </c>
      <c r="E29" s="94"/>
      <c r="F29" s="94"/>
      <c r="G29" s="94"/>
      <c r="H29" s="94"/>
      <c r="I29" s="94"/>
      <c r="J29" s="74">
        <f>#N/A</f>
        <v>0.66666666666666652</v>
      </c>
      <c r="K29" s="74"/>
      <c r="L29" s="74"/>
      <c r="M29" s="74"/>
      <c r="N29" s="75"/>
      <c r="O29" s="71" t="str">
        <f>P19</f>
        <v>Blasi Hasi</v>
      </c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  <c r="AA29" s="72"/>
      <c r="AB29" s="72"/>
      <c r="AC29" s="72"/>
      <c r="AD29" s="72"/>
      <c r="AE29" s="12" t="s">
        <v>19</v>
      </c>
      <c r="AF29" s="72" t="str">
        <f>P20</f>
        <v>Mach di vom Acher</v>
      </c>
      <c r="AG29" s="72"/>
      <c r="AH29" s="72"/>
      <c r="AI29" s="72"/>
      <c r="AJ29" s="72"/>
      <c r="AK29" s="72"/>
      <c r="AL29" s="72"/>
      <c r="AM29" s="72"/>
      <c r="AN29" s="72"/>
      <c r="AO29" s="72"/>
      <c r="AP29" s="72"/>
      <c r="AQ29" s="72"/>
      <c r="AR29" s="72"/>
      <c r="AS29" s="72"/>
      <c r="AT29" s="72"/>
      <c r="AU29" s="72"/>
      <c r="AV29" s="73"/>
      <c r="AW29" s="116">
        <v>2</v>
      </c>
      <c r="AX29" s="117"/>
      <c r="AY29" s="12" t="s">
        <v>18</v>
      </c>
      <c r="AZ29" s="117">
        <v>2</v>
      </c>
      <c r="BA29" s="126"/>
      <c r="BB29" s="116"/>
      <c r="BC29" s="125"/>
      <c r="BD29" s="58"/>
      <c r="BE29" s="46"/>
      <c r="BF29" s="50">
        <f>#N/A</f>
        <v>1</v>
      </c>
      <c r="BG29" s="50" t="s">
        <v>18</v>
      </c>
      <c r="BH29" s="50">
        <f>#N/A</f>
        <v>1</v>
      </c>
      <c r="BI29" s="46"/>
      <c r="BJ29" s="46"/>
      <c r="BK29" s="46"/>
      <c r="BL29" s="46"/>
      <c r="BM29" s="51" t="str">
        <f>$P$16</f>
        <v>Oschwand</v>
      </c>
      <c r="BN29" s="52">
        <f>COUNT($BF$25,$BH$27,$BF$30,$BH$33)</f>
        <v>4</v>
      </c>
      <c r="BO29" s="52">
        <f>SUM($BF$25+$BH$27+$BF$30+$BH$33)</f>
        <v>2</v>
      </c>
      <c r="BP29" s="52">
        <f>SUM($AW$25+$AZ$27+$AW$30+$AZ$33)</f>
        <v>3</v>
      </c>
      <c r="BQ29" s="53" t="s">
        <v>18</v>
      </c>
      <c r="BR29" s="52">
        <f>SUM($AZ$25+$AW$27+$AZ$30+$AW$33)</f>
        <v>6</v>
      </c>
      <c r="BS29" s="52">
        <f>SUM(BP29-BR29)</f>
        <v>-3</v>
      </c>
      <c r="BT29" s="46"/>
      <c r="BU29" s="46"/>
      <c r="BV29" s="49"/>
      <c r="BW29" s="49"/>
      <c r="BX29" s="49"/>
      <c r="BY29" s="49"/>
      <c r="BZ29" s="49"/>
      <c r="CA29" s="49"/>
      <c r="CB29" s="49"/>
      <c r="CC29" s="34"/>
      <c r="CD29" s="34"/>
      <c r="CE29" s="34"/>
      <c r="CF29" s="34"/>
      <c r="CG29" s="34"/>
      <c r="CH29" s="34"/>
      <c r="CI29" s="34"/>
      <c r="CJ29" s="34"/>
      <c r="CK29" s="34"/>
      <c r="CL29" s="34"/>
      <c r="CM29" s="58"/>
      <c r="CN29" s="58"/>
      <c r="CO29" s="58"/>
      <c r="CP29" s="58"/>
      <c r="CQ29" s="58"/>
      <c r="CR29" s="58"/>
      <c r="CS29" s="58"/>
      <c r="CT29" s="58"/>
      <c r="CU29" s="34"/>
      <c r="CV29" s="34"/>
      <c r="CW29" s="34"/>
      <c r="CX29" s="34"/>
      <c r="CY29" s="34"/>
      <c r="CZ29" s="34"/>
      <c r="DA29" s="34"/>
      <c r="DB29" s="34"/>
      <c r="DC29" s="34"/>
      <c r="DD29" s="34"/>
      <c r="DE29" s="34"/>
      <c r="DF29" s="34"/>
      <c r="DG29" s="34"/>
      <c r="DH29" s="34"/>
      <c r="DI29" s="34"/>
      <c r="DJ29" s="34"/>
      <c r="DK29" s="34"/>
      <c r="DL29" s="58"/>
    </row>
    <row r="30" spans="2:116" s="4" customFormat="1" ht="18" customHeight="1" thickBot="1" x14ac:dyDescent="0.25">
      <c r="B30" s="127">
        <v>6</v>
      </c>
      <c r="C30" s="118"/>
      <c r="D30" s="118">
        <v>1</v>
      </c>
      <c r="E30" s="118"/>
      <c r="F30" s="118"/>
      <c r="G30" s="118"/>
      <c r="H30" s="118"/>
      <c r="I30" s="118"/>
      <c r="J30" s="89">
        <f>#N/A</f>
        <v>0.67708333333333315</v>
      </c>
      <c r="K30" s="89"/>
      <c r="L30" s="89"/>
      <c r="M30" s="89"/>
      <c r="N30" s="90"/>
      <c r="O30" s="91" t="str">
        <f>P16</f>
        <v>Oschwand</v>
      </c>
      <c r="P30" s="92"/>
      <c r="Q30" s="92"/>
      <c r="R30" s="92"/>
      <c r="S30" s="92"/>
      <c r="T30" s="92"/>
      <c r="U30" s="92"/>
      <c r="V30" s="92"/>
      <c r="W30" s="92"/>
      <c r="X30" s="92"/>
      <c r="Y30" s="92"/>
      <c r="Z30" s="92"/>
      <c r="AA30" s="92"/>
      <c r="AB30" s="92"/>
      <c r="AC30" s="92"/>
      <c r="AD30" s="92"/>
      <c r="AE30" s="8" t="s">
        <v>19</v>
      </c>
      <c r="AF30" s="92" t="str">
        <f>P18</f>
        <v>Dream Team</v>
      </c>
      <c r="AG30" s="92"/>
      <c r="AH30" s="92"/>
      <c r="AI30" s="92"/>
      <c r="AJ30" s="92"/>
      <c r="AK30" s="92"/>
      <c r="AL30" s="92"/>
      <c r="AM30" s="92"/>
      <c r="AN30" s="92"/>
      <c r="AO30" s="92"/>
      <c r="AP30" s="92"/>
      <c r="AQ30" s="92"/>
      <c r="AR30" s="92"/>
      <c r="AS30" s="92"/>
      <c r="AT30" s="92"/>
      <c r="AU30" s="92"/>
      <c r="AV30" s="124"/>
      <c r="AW30" s="114">
        <v>1</v>
      </c>
      <c r="AX30" s="122"/>
      <c r="AY30" s="8" t="s">
        <v>18</v>
      </c>
      <c r="AZ30" s="122">
        <v>2</v>
      </c>
      <c r="BA30" s="123"/>
      <c r="BB30" s="114"/>
      <c r="BC30" s="115"/>
      <c r="BD30" s="58"/>
      <c r="BE30" s="46"/>
      <c r="BF30" s="50">
        <f>#N/A</f>
        <v>0</v>
      </c>
      <c r="BG30" s="50" t="s">
        <v>18</v>
      </c>
      <c r="BH30" s="50">
        <f>#N/A</f>
        <v>3</v>
      </c>
      <c r="BI30" s="46"/>
      <c r="BJ30" s="46"/>
      <c r="BK30" s="40"/>
      <c r="BL30" s="40"/>
      <c r="BM30" s="40"/>
      <c r="BN30" s="40"/>
      <c r="BO30" s="40"/>
      <c r="BP30" s="40"/>
      <c r="BQ30" s="40"/>
      <c r="BR30" s="40"/>
      <c r="BS30" s="40"/>
      <c r="BT30" s="46"/>
      <c r="BU30" s="46"/>
      <c r="BV30" s="49"/>
      <c r="BW30" s="49"/>
      <c r="BX30" s="49"/>
      <c r="BY30" s="49"/>
      <c r="BZ30" s="49"/>
      <c r="CA30" s="49"/>
      <c r="CB30" s="49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58"/>
      <c r="CN30" s="58"/>
      <c r="CO30" s="58"/>
      <c r="CP30" s="58"/>
      <c r="CQ30" s="58"/>
      <c r="CR30" s="58"/>
      <c r="CS30" s="58"/>
      <c r="CT30" s="58"/>
      <c r="CU30" s="34"/>
      <c r="CV30" s="34"/>
      <c r="CW30" s="34"/>
      <c r="CX30" s="34"/>
      <c r="CY30" s="34"/>
      <c r="CZ30" s="34"/>
      <c r="DA30" s="34"/>
      <c r="DB30" s="34"/>
      <c r="DC30" s="34"/>
      <c r="DD30" s="34"/>
      <c r="DE30" s="34"/>
      <c r="DF30" s="34"/>
      <c r="DG30" s="34"/>
      <c r="DH30" s="34"/>
      <c r="DI30" s="34"/>
      <c r="DJ30" s="34"/>
      <c r="DK30" s="34"/>
      <c r="DL30" s="58"/>
    </row>
    <row r="31" spans="2:116" s="4" customFormat="1" ht="18" customHeight="1" x14ac:dyDescent="0.2">
      <c r="B31" s="93">
        <v>7</v>
      </c>
      <c r="C31" s="94"/>
      <c r="D31" s="94">
        <v>1</v>
      </c>
      <c r="E31" s="94"/>
      <c r="F31" s="94"/>
      <c r="G31" s="94"/>
      <c r="H31" s="94"/>
      <c r="I31" s="94"/>
      <c r="J31" s="74">
        <f>#N/A</f>
        <v>0.68749999999999978</v>
      </c>
      <c r="K31" s="74"/>
      <c r="L31" s="74"/>
      <c r="M31" s="74"/>
      <c r="N31" s="75"/>
      <c r="O31" s="71" t="str">
        <f>P17</f>
        <v>Bethli</v>
      </c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  <c r="AA31" s="72"/>
      <c r="AB31" s="72"/>
      <c r="AC31" s="72"/>
      <c r="AD31" s="72"/>
      <c r="AE31" s="12" t="s">
        <v>19</v>
      </c>
      <c r="AF31" s="72" t="str">
        <f>P19</f>
        <v>Blasi Hasi</v>
      </c>
      <c r="AG31" s="72"/>
      <c r="AH31" s="72"/>
      <c r="AI31" s="72"/>
      <c r="AJ31" s="72"/>
      <c r="AK31" s="72"/>
      <c r="AL31" s="72"/>
      <c r="AM31" s="72"/>
      <c r="AN31" s="72"/>
      <c r="AO31" s="72"/>
      <c r="AP31" s="72"/>
      <c r="AQ31" s="72"/>
      <c r="AR31" s="72"/>
      <c r="AS31" s="72"/>
      <c r="AT31" s="72"/>
      <c r="AU31" s="72"/>
      <c r="AV31" s="73"/>
      <c r="AW31" s="116">
        <v>2</v>
      </c>
      <c r="AX31" s="117"/>
      <c r="AY31" s="12" t="s">
        <v>18</v>
      </c>
      <c r="AZ31" s="117">
        <v>3</v>
      </c>
      <c r="BA31" s="126"/>
      <c r="BB31" s="116"/>
      <c r="BC31" s="125"/>
      <c r="BD31" s="13"/>
      <c r="BE31" s="46"/>
      <c r="BF31" s="50">
        <f>#N/A</f>
        <v>0</v>
      </c>
      <c r="BG31" s="50" t="s">
        <v>18</v>
      </c>
      <c r="BH31" s="50">
        <f>#N/A</f>
        <v>3</v>
      </c>
      <c r="BI31" s="46"/>
      <c r="BJ31" s="46"/>
      <c r="BK31" s="55"/>
      <c r="BL31" s="55"/>
      <c r="BM31" s="34"/>
      <c r="BN31" s="34"/>
      <c r="BO31" s="34"/>
      <c r="BP31" s="34"/>
      <c r="BQ31" s="34"/>
      <c r="BR31" s="34"/>
      <c r="BS31" s="52"/>
      <c r="BT31" s="46"/>
      <c r="BU31" s="46"/>
      <c r="BV31" s="49"/>
      <c r="BW31" s="49"/>
      <c r="BX31" s="49"/>
      <c r="BY31" s="49"/>
      <c r="BZ31" s="49"/>
      <c r="CA31" s="49"/>
      <c r="CB31" s="49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58"/>
      <c r="CN31" s="58"/>
      <c r="CO31" s="58"/>
      <c r="CP31" s="58"/>
      <c r="CQ31" s="58"/>
      <c r="CR31" s="58"/>
      <c r="CS31" s="58"/>
      <c r="CT31" s="58"/>
      <c r="CU31" s="34"/>
      <c r="CV31" s="34"/>
      <c r="CW31" s="34"/>
      <c r="CX31" s="34"/>
      <c r="CY31" s="34"/>
      <c r="CZ31" s="34"/>
      <c r="DA31" s="34"/>
      <c r="DB31" s="34"/>
      <c r="DC31" s="34"/>
      <c r="DD31" s="34"/>
      <c r="DE31" s="34"/>
      <c r="DF31" s="34"/>
      <c r="DG31" s="34"/>
      <c r="DH31" s="34"/>
      <c r="DI31" s="34"/>
      <c r="DJ31" s="34"/>
      <c r="DK31" s="34"/>
      <c r="DL31" s="58"/>
    </row>
    <row r="32" spans="2:116" s="4" customFormat="1" ht="18" customHeight="1" thickBot="1" x14ac:dyDescent="0.25">
      <c r="B32" s="127">
        <v>8</v>
      </c>
      <c r="C32" s="118"/>
      <c r="D32" s="118">
        <v>1</v>
      </c>
      <c r="E32" s="118"/>
      <c r="F32" s="118"/>
      <c r="G32" s="118"/>
      <c r="H32" s="118"/>
      <c r="I32" s="118"/>
      <c r="J32" s="89">
        <f>#N/A</f>
        <v>0.69791666666666641</v>
      </c>
      <c r="K32" s="89"/>
      <c r="L32" s="89"/>
      <c r="M32" s="89"/>
      <c r="N32" s="90"/>
      <c r="O32" s="91" t="str">
        <f>P18</f>
        <v>Dream Team</v>
      </c>
      <c r="P32" s="92"/>
      <c r="Q32" s="92"/>
      <c r="R32" s="92"/>
      <c r="S32" s="92"/>
      <c r="T32" s="92"/>
      <c r="U32" s="92"/>
      <c r="V32" s="92"/>
      <c r="W32" s="92"/>
      <c r="X32" s="92"/>
      <c r="Y32" s="92"/>
      <c r="Z32" s="92"/>
      <c r="AA32" s="92"/>
      <c r="AB32" s="92"/>
      <c r="AC32" s="92"/>
      <c r="AD32" s="92"/>
      <c r="AE32" s="8" t="s">
        <v>19</v>
      </c>
      <c r="AF32" s="92" t="str">
        <f>P20</f>
        <v>Mach di vom Acher</v>
      </c>
      <c r="AG32" s="92"/>
      <c r="AH32" s="92"/>
      <c r="AI32" s="92"/>
      <c r="AJ32" s="92"/>
      <c r="AK32" s="92"/>
      <c r="AL32" s="92"/>
      <c r="AM32" s="92"/>
      <c r="AN32" s="92"/>
      <c r="AO32" s="92"/>
      <c r="AP32" s="92"/>
      <c r="AQ32" s="92"/>
      <c r="AR32" s="92"/>
      <c r="AS32" s="92"/>
      <c r="AT32" s="92"/>
      <c r="AU32" s="92"/>
      <c r="AV32" s="124"/>
      <c r="AW32" s="114">
        <v>2</v>
      </c>
      <c r="AX32" s="122"/>
      <c r="AY32" s="8" t="s">
        <v>18</v>
      </c>
      <c r="AZ32" s="122">
        <v>0</v>
      </c>
      <c r="BA32" s="123"/>
      <c r="BB32" s="114"/>
      <c r="BC32" s="115"/>
      <c r="BD32" s="13"/>
      <c r="BE32" s="46"/>
      <c r="BF32" s="50">
        <f>#N/A</f>
        <v>3</v>
      </c>
      <c r="BG32" s="50" t="s">
        <v>18</v>
      </c>
      <c r="BH32" s="50">
        <f>#N/A</f>
        <v>0</v>
      </c>
      <c r="BI32" s="46"/>
      <c r="BJ32" s="46"/>
      <c r="BK32" s="55"/>
      <c r="BL32" s="55"/>
      <c r="BM32" s="34"/>
      <c r="BN32" s="34"/>
      <c r="BO32" s="34"/>
      <c r="BP32" s="34"/>
      <c r="BQ32" s="34"/>
      <c r="BR32" s="34"/>
      <c r="BS32" s="52"/>
      <c r="BT32" s="46"/>
      <c r="BU32" s="46"/>
      <c r="BV32" s="49"/>
      <c r="BW32" s="49"/>
      <c r="BX32" s="49"/>
      <c r="BY32" s="49"/>
      <c r="BZ32" s="49"/>
      <c r="CA32" s="49"/>
      <c r="CB32" s="49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58"/>
      <c r="CN32" s="58"/>
      <c r="CO32" s="58"/>
      <c r="CP32" s="58"/>
      <c r="CQ32" s="58"/>
      <c r="CR32" s="58"/>
      <c r="CS32" s="58"/>
      <c r="CT32" s="58"/>
      <c r="CU32" s="34"/>
      <c r="CV32" s="34"/>
      <c r="CW32" s="34"/>
      <c r="CX32" s="34"/>
      <c r="CY32" s="34"/>
      <c r="CZ32" s="34"/>
      <c r="DA32" s="34"/>
      <c r="DB32" s="34"/>
      <c r="DC32" s="34"/>
      <c r="DD32" s="34"/>
      <c r="DE32" s="34"/>
      <c r="DF32" s="34"/>
      <c r="DG32" s="34"/>
      <c r="DH32" s="34"/>
      <c r="DI32" s="34"/>
      <c r="DJ32" s="34"/>
      <c r="DK32" s="34"/>
      <c r="DL32" s="58"/>
    </row>
    <row r="33" spans="2:116" s="4" customFormat="1" ht="18" customHeight="1" x14ac:dyDescent="0.2">
      <c r="B33" s="93">
        <v>9</v>
      </c>
      <c r="C33" s="94"/>
      <c r="D33" s="94">
        <v>1</v>
      </c>
      <c r="E33" s="94"/>
      <c r="F33" s="94"/>
      <c r="G33" s="94"/>
      <c r="H33" s="94"/>
      <c r="I33" s="94"/>
      <c r="J33" s="74">
        <f>#N/A</f>
        <v>0.70833333333333304</v>
      </c>
      <c r="K33" s="74"/>
      <c r="L33" s="74"/>
      <c r="M33" s="74"/>
      <c r="N33" s="75"/>
      <c r="O33" s="71" t="str">
        <f>P19</f>
        <v>Blasi Hasi</v>
      </c>
      <c r="P33" s="72"/>
      <c r="Q33" s="72"/>
      <c r="R33" s="72"/>
      <c r="S33" s="72"/>
      <c r="T33" s="72"/>
      <c r="U33" s="72"/>
      <c r="V33" s="72"/>
      <c r="W33" s="72"/>
      <c r="X33" s="72"/>
      <c r="Y33" s="72"/>
      <c r="Z33" s="72"/>
      <c r="AA33" s="72"/>
      <c r="AB33" s="72"/>
      <c r="AC33" s="72"/>
      <c r="AD33" s="72"/>
      <c r="AE33" s="12" t="s">
        <v>19</v>
      </c>
      <c r="AF33" s="72" t="str">
        <f>P16</f>
        <v>Oschwand</v>
      </c>
      <c r="AG33" s="72"/>
      <c r="AH33" s="72"/>
      <c r="AI33" s="72"/>
      <c r="AJ33" s="72"/>
      <c r="AK33" s="72"/>
      <c r="AL33" s="72"/>
      <c r="AM33" s="72"/>
      <c r="AN33" s="72"/>
      <c r="AO33" s="72"/>
      <c r="AP33" s="72"/>
      <c r="AQ33" s="72"/>
      <c r="AR33" s="72"/>
      <c r="AS33" s="72"/>
      <c r="AT33" s="72"/>
      <c r="AU33" s="72"/>
      <c r="AV33" s="73"/>
      <c r="AW33" s="116">
        <v>1</v>
      </c>
      <c r="AX33" s="117"/>
      <c r="AY33" s="12" t="s">
        <v>18</v>
      </c>
      <c r="AZ33" s="117">
        <v>1</v>
      </c>
      <c r="BA33" s="126"/>
      <c r="BB33" s="116"/>
      <c r="BC33" s="125"/>
      <c r="BD33" s="13"/>
      <c r="BE33" s="46"/>
      <c r="BF33" s="50">
        <f>#N/A</f>
        <v>1</v>
      </c>
      <c r="BG33" s="50" t="s">
        <v>18</v>
      </c>
      <c r="BH33" s="50">
        <f>#N/A</f>
        <v>1</v>
      </c>
      <c r="BI33" s="46"/>
      <c r="BJ33" s="46"/>
      <c r="BK33" s="55"/>
      <c r="BL33" s="55"/>
      <c r="BM33" s="34"/>
      <c r="BN33" s="34"/>
      <c r="BO33" s="34"/>
      <c r="BP33" s="34"/>
      <c r="BQ33" s="34"/>
      <c r="BR33" s="34"/>
      <c r="BS33" s="52"/>
      <c r="BT33" s="46"/>
      <c r="BU33" s="46"/>
      <c r="BV33" s="49"/>
      <c r="BW33" s="49"/>
      <c r="BX33" s="49"/>
      <c r="BY33" s="49"/>
      <c r="BZ33" s="49"/>
      <c r="CA33" s="49"/>
      <c r="CB33" s="49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58"/>
      <c r="CN33" s="58"/>
      <c r="CO33" s="58"/>
      <c r="CP33" s="58"/>
      <c r="CQ33" s="58"/>
      <c r="CR33" s="58"/>
      <c r="CS33" s="58"/>
      <c r="CT33" s="58"/>
      <c r="CU33" s="34"/>
      <c r="CV33" s="34"/>
      <c r="CW33" s="34"/>
      <c r="CX33" s="34"/>
      <c r="CY33" s="34"/>
      <c r="CZ33" s="34"/>
      <c r="DA33" s="34"/>
      <c r="DB33" s="34"/>
      <c r="DC33" s="34"/>
      <c r="DD33" s="34"/>
      <c r="DE33" s="34"/>
      <c r="DF33" s="34"/>
      <c r="DG33" s="34"/>
      <c r="DH33" s="34"/>
      <c r="DI33" s="34"/>
      <c r="DJ33" s="34"/>
      <c r="DK33" s="34"/>
      <c r="DL33" s="58"/>
    </row>
    <row r="34" spans="2:116" s="4" customFormat="1" ht="18" customHeight="1" thickBot="1" x14ac:dyDescent="0.25">
      <c r="B34" s="127">
        <v>10</v>
      </c>
      <c r="C34" s="118"/>
      <c r="D34" s="118">
        <v>1</v>
      </c>
      <c r="E34" s="118"/>
      <c r="F34" s="118"/>
      <c r="G34" s="118"/>
      <c r="H34" s="118"/>
      <c r="I34" s="118"/>
      <c r="J34" s="89">
        <f>#N/A</f>
        <v>0.71874999999999967</v>
      </c>
      <c r="K34" s="89"/>
      <c r="L34" s="89"/>
      <c r="M34" s="89"/>
      <c r="N34" s="90"/>
      <c r="O34" s="91" t="str">
        <f>P20</f>
        <v>Mach di vom Acher</v>
      </c>
      <c r="P34" s="92"/>
      <c r="Q34" s="92"/>
      <c r="R34" s="92"/>
      <c r="S34" s="92"/>
      <c r="T34" s="92"/>
      <c r="U34" s="92"/>
      <c r="V34" s="92"/>
      <c r="W34" s="92"/>
      <c r="X34" s="92"/>
      <c r="Y34" s="92"/>
      <c r="Z34" s="92"/>
      <c r="AA34" s="92"/>
      <c r="AB34" s="92"/>
      <c r="AC34" s="92"/>
      <c r="AD34" s="92"/>
      <c r="AE34" s="8" t="s">
        <v>19</v>
      </c>
      <c r="AF34" s="92" t="str">
        <f>P17</f>
        <v>Bethli</v>
      </c>
      <c r="AG34" s="92"/>
      <c r="AH34" s="92"/>
      <c r="AI34" s="92"/>
      <c r="AJ34" s="92"/>
      <c r="AK34" s="92"/>
      <c r="AL34" s="92"/>
      <c r="AM34" s="92"/>
      <c r="AN34" s="92"/>
      <c r="AO34" s="92"/>
      <c r="AP34" s="92"/>
      <c r="AQ34" s="92"/>
      <c r="AR34" s="92"/>
      <c r="AS34" s="92"/>
      <c r="AT34" s="92"/>
      <c r="AU34" s="92"/>
      <c r="AV34" s="124"/>
      <c r="AW34" s="114">
        <v>2</v>
      </c>
      <c r="AX34" s="122"/>
      <c r="AY34" s="8" t="s">
        <v>18</v>
      </c>
      <c r="AZ34" s="122">
        <v>4</v>
      </c>
      <c r="BA34" s="123"/>
      <c r="BB34" s="114"/>
      <c r="BC34" s="115"/>
      <c r="BD34" s="13"/>
      <c r="BE34" s="46"/>
      <c r="BF34" s="50">
        <f>#N/A</f>
        <v>0</v>
      </c>
      <c r="BG34" s="50" t="s">
        <v>18</v>
      </c>
      <c r="BH34" s="50">
        <f>#N/A</f>
        <v>3</v>
      </c>
      <c r="BI34" s="46"/>
      <c r="BJ34" s="46"/>
      <c r="BK34" s="55"/>
      <c r="BL34" s="55"/>
      <c r="BM34" s="34"/>
      <c r="BN34" s="34"/>
      <c r="BO34" s="34"/>
      <c r="BP34" s="34"/>
      <c r="BQ34" s="34"/>
      <c r="BR34" s="34"/>
      <c r="BS34" s="52"/>
      <c r="BT34" s="46"/>
      <c r="BU34" s="46"/>
      <c r="BV34" s="49"/>
      <c r="BW34" s="49"/>
      <c r="BX34" s="49"/>
      <c r="BY34" s="49"/>
      <c r="BZ34" s="49"/>
      <c r="CA34" s="49"/>
      <c r="CB34" s="49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58"/>
      <c r="CN34" s="58"/>
      <c r="CO34" s="58"/>
      <c r="CP34" s="58"/>
      <c r="CQ34" s="58"/>
      <c r="CR34" s="58"/>
      <c r="CS34" s="58"/>
      <c r="CT34" s="58"/>
      <c r="CU34" s="34"/>
      <c r="CV34" s="34"/>
      <c r="CW34" s="34"/>
      <c r="CX34" s="34"/>
      <c r="CY34" s="34"/>
      <c r="CZ34" s="34"/>
      <c r="DA34" s="34"/>
      <c r="DB34" s="34"/>
      <c r="DC34" s="34"/>
      <c r="DD34" s="34"/>
      <c r="DE34" s="34"/>
      <c r="DF34" s="34"/>
      <c r="DG34" s="34"/>
      <c r="DH34" s="34"/>
      <c r="DI34" s="34"/>
      <c r="DJ34" s="34"/>
      <c r="DK34" s="34"/>
      <c r="DL34" s="58"/>
    </row>
    <row r="36" spans="2:116" x14ac:dyDescent="0.2">
      <c r="B36" s="1" t="s">
        <v>29</v>
      </c>
    </row>
    <row r="37" spans="2:116" ht="6" customHeight="1" x14ac:dyDescent="0.2"/>
    <row r="38" spans="2:116" s="9" customFormat="1" ht="13.5" customHeight="1" thickBot="1" x14ac:dyDescent="0.25">
      <c r="AA38" s="10"/>
      <c r="AB38" s="10"/>
      <c r="AC38" s="10"/>
      <c r="AD38" s="10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E38" s="56"/>
      <c r="BF38" s="56"/>
      <c r="BG38" s="56"/>
      <c r="BH38" s="56"/>
      <c r="BI38" s="56"/>
      <c r="BJ38" s="56"/>
      <c r="BK38" s="56"/>
      <c r="BL38" s="56"/>
      <c r="BM38" s="56"/>
      <c r="BN38" s="56"/>
      <c r="BO38" s="56"/>
      <c r="BP38" s="56"/>
      <c r="BQ38" s="56"/>
      <c r="BR38" s="56"/>
      <c r="BS38" s="56"/>
      <c r="BT38" s="56"/>
      <c r="BU38" s="56"/>
      <c r="BV38" s="57"/>
      <c r="BW38" s="57"/>
      <c r="BX38" s="57"/>
      <c r="BY38" s="57"/>
      <c r="BZ38" s="57"/>
      <c r="CA38" s="57"/>
      <c r="CB38" s="57"/>
      <c r="CC38" s="36"/>
      <c r="CD38" s="36"/>
      <c r="CE38" s="36"/>
      <c r="CF38" s="36"/>
      <c r="CG38" s="36"/>
      <c r="CH38" s="36"/>
      <c r="CI38" s="36"/>
      <c r="CJ38" s="36"/>
      <c r="CK38" s="36"/>
      <c r="CL38" s="36"/>
      <c r="CU38" s="36"/>
      <c r="CV38" s="36"/>
      <c r="CW38" s="36"/>
      <c r="CX38" s="36"/>
      <c r="CY38" s="36"/>
      <c r="CZ38" s="36"/>
      <c r="DA38" s="36"/>
      <c r="DB38" s="36"/>
      <c r="DC38" s="36"/>
      <c r="DD38" s="36"/>
      <c r="DE38" s="36"/>
      <c r="DF38" s="36"/>
      <c r="DG38" s="36"/>
      <c r="DH38" s="36"/>
      <c r="DI38" s="36"/>
      <c r="DJ38" s="36"/>
      <c r="DK38" s="36"/>
    </row>
    <row r="39" spans="2:116" ht="13.5" thickBot="1" x14ac:dyDescent="0.25">
      <c r="I39" s="120" t="s">
        <v>31</v>
      </c>
      <c r="J39" s="121"/>
      <c r="K39" s="121"/>
      <c r="L39" s="121"/>
      <c r="M39" s="121"/>
      <c r="N39" s="121"/>
      <c r="O39" s="121"/>
      <c r="P39" s="121"/>
      <c r="Q39" s="121"/>
      <c r="R39" s="121"/>
      <c r="S39" s="121"/>
      <c r="T39" s="121"/>
      <c r="U39" s="121"/>
      <c r="V39" s="121"/>
      <c r="W39" s="121"/>
      <c r="X39" s="121"/>
      <c r="Y39" s="121"/>
      <c r="Z39" s="121"/>
      <c r="AA39" s="121"/>
      <c r="AB39" s="121"/>
      <c r="AC39" s="121"/>
      <c r="AD39" s="121"/>
      <c r="AE39" s="121"/>
      <c r="AF39" s="121"/>
      <c r="AG39" s="121"/>
      <c r="AH39" s="97" t="s">
        <v>28</v>
      </c>
      <c r="AI39" s="98"/>
      <c r="AJ39" s="98"/>
      <c r="AK39" s="97" t="s">
        <v>21</v>
      </c>
      <c r="AL39" s="98"/>
      <c r="AM39" s="98"/>
      <c r="AN39" s="97" t="s">
        <v>22</v>
      </c>
      <c r="AO39" s="98"/>
      <c r="AP39" s="98"/>
      <c r="AQ39" s="98"/>
      <c r="AR39" s="98"/>
      <c r="AS39" s="97" t="s">
        <v>23</v>
      </c>
      <c r="AT39" s="98"/>
      <c r="AU39" s="119"/>
    </row>
    <row r="40" spans="2:116" ht="20.100000000000001" customHeight="1" thickBot="1" x14ac:dyDescent="0.25">
      <c r="I40" s="105" t="s">
        <v>10</v>
      </c>
      <c r="J40" s="100"/>
      <c r="K40" s="110" t="str">
        <f>BM25</f>
        <v>Dream Team</v>
      </c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F40" s="110"/>
      <c r="AG40" s="110"/>
      <c r="AH40" s="101">
        <f>BN25</f>
        <v>4</v>
      </c>
      <c r="AI40" s="100"/>
      <c r="AJ40" s="102"/>
      <c r="AK40" s="100">
        <f>BO25</f>
        <v>10</v>
      </c>
      <c r="AL40" s="100"/>
      <c r="AM40" s="100"/>
      <c r="AN40" s="101">
        <f>BP25</f>
        <v>7</v>
      </c>
      <c r="AO40" s="100"/>
      <c r="AP40" s="39" t="s">
        <v>18</v>
      </c>
      <c r="AQ40" s="100">
        <f>BR25</f>
        <v>3</v>
      </c>
      <c r="AR40" s="102"/>
      <c r="AS40" s="103">
        <f>BS25</f>
        <v>4</v>
      </c>
      <c r="AT40" s="103"/>
      <c r="AU40" s="104"/>
    </row>
    <row r="41" spans="2:116" ht="20.100000000000001" customHeight="1" thickBot="1" x14ac:dyDescent="0.25">
      <c r="I41" s="105" t="s">
        <v>11</v>
      </c>
      <c r="J41" s="100"/>
      <c r="K41" s="110" t="str">
        <f>BM26</f>
        <v>Bethli</v>
      </c>
      <c r="L41" s="110"/>
      <c r="M41" s="110"/>
      <c r="N41" s="110"/>
      <c r="O41" s="110"/>
      <c r="P41" s="110"/>
      <c r="Q41" s="110"/>
      <c r="R41" s="110"/>
      <c r="S41" s="110"/>
      <c r="T41" s="110"/>
      <c r="U41" s="110"/>
      <c r="V41" s="110"/>
      <c r="W41" s="110"/>
      <c r="X41" s="110"/>
      <c r="Y41" s="110"/>
      <c r="Z41" s="110"/>
      <c r="AA41" s="110"/>
      <c r="AB41" s="110"/>
      <c r="AC41" s="110"/>
      <c r="AD41" s="110"/>
      <c r="AE41" s="110"/>
      <c r="AF41" s="110"/>
      <c r="AG41" s="110"/>
      <c r="AH41" s="101">
        <f>BN26</f>
        <v>4</v>
      </c>
      <c r="AI41" s="100"/>
      <c r="AJ41" s="102"/>
      <c r="AK41" s="100">
        <f>BO26</f>
        <v>5</v>
      </c>
      <c r="AL41" s="100"/>
      <c r="AM41" s="100"/>
      <c r="AN41" s="101">
        <f>BP26</f>
        <v>8</v>
      </c>
      <c r="AO41" s="100"/>
      <c r="AP41" s="39" t="s">
        <v>18</v>
      </c>
      <c r="AQ41" s="100">
        <f>BR26</f>
        <v>7</v>
      </c>
      <c r="AR41" s="102"/>
      <c r="AS41" s="103">
        <f>BS26</f>
        <v>1</v>
      </c>
      <c r="AT41" s="103"/>
      <c r="AU41" s="104"/>
    </row>
    <row r="42" spans="2:116" ht="20.100000000000001" customHeight="1" thickBot="1" x14ac:dyDescent="0.25">
      <c r="I42" s="105" t="s">
        <v>12</v>
      </c>
      <c r="J42" s="100"/>
      <c r="K42" s="110" t="str">
        <f>BM27</f>
        <v>Blasi Hasi</v>
      </c>
      <c r="L42" s="110"/>
      <c r="M42" s="110"/>
      <c r="N42" s="110"/>
      <c r="O42" s="110"/>
      <c r="P42" s="110"/>
      <c r="Q42" s="110"/>
      <c r="R42" s="110"/>
      <c r="S42" s="110"/>
      <c r="T42" s="110"/>
      <c r="U42" s="110"/>
      <c r="V42" s="110"/>
      <c r="W42" s="110"/>
      <c r="X42" s="110"/>
      <c r="Y42" s="110"/>
      <c r="Z42" s="110"/>
      <c r="AA42" s="110"/>
      <c r="AB42" s="110"/>
      <c r="AC42" s="110"/>
      <c r="AD42" s="110"/>
      <c r="AE42" s="110"/>
      <c r="AF42" s="110"/>
      <c r="AG42" s="110"/>
      <c r="AH42" s="101">
        <f>BN27</f>
        <v>4</v>
      </c>
      <c r="AI42" s="100"/>
      <c r="AJ42" s="102"/>
      <c r="AK42" s="100">
        <f>BO27</f>
        <v>5</v>
      </c>
      <c r="AL42" s="100"/>
      <c r="AM42" s="100"/>
      <c r="AN42" s="101">
        <f>BP27</f>
        <v>7</v>
      </c>
      <c r="AO42" s="100"/>
      <c r="AP42" s="39" t="s">
        <v>18</v>
      </c>
      <c r="AQ42" s="100">
        <f>BR27</f>
        <v>7</v>
      </c>
      <c r="AR42" s="102"/>
      <c r="AS42" s="103">
        <f>BS27</f>
        <v>0</v>
      </c>
      <c r="AT42" s="103"/>
      <c r="AU42" s="104"/>
    </row>
    <row r="43" spans="2:116" ht="20.100000000000001" customHeight="1" thickBot="1" x14ac:dyDescent="0.25">
      <c r="I43" s="113" t="s">
        <v>13</v>
      </c>
      <c r="J43" s="108"/>
      <c r="K43" s="106" t="str">
        <f>BM28</f>
        <v>Mach di vom Acher</v>
      </c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7">
        <f>BN28</f>
        <v>4</v>
      </c>
      <c r="AI43" s="108"/>
      <c r="AJ43" s="109"/>
      <c r="AK43" s="108">
        <f>BO28</f>
        <v>4</v>
      </c>
      <c r="AL43" s="108"/>
      <c r="AM43" s="108"/>
      <c r="AN43" s="107">
        <f>BP28</f>
        <v>6</v>
      </c>
      <c r="AO43" s="108"/>
      <c r="AP43" s="38" t="s">
        <v>18</v>
      </c>
      <c r="AQ43" s="108">
        <f>BR28</f>
        <v>8</v>
      </c>
      <c r="AR43" s="109"/>
      <c r="AS43" s="111">
        <f>BS28</f>
        <v>-2</v>
      </c>
      <c r="AT43" s="111"/>
      <c r="AU43" s="112"/>
    </row>
    <row r="44" spans="2:116" ht="20.100000000000001" customHeight="1" thickBot="1" x14ac:dyDescent="0.25">
      <c r="I44" s="105" t="s">
        <v>14</v>
      </c>
      <c r="J44" s="100"/>
      <c r="K44" s="110" t="str">
        <f>BM29</f>
        <v>Oschwand</v>
      </c>
      <c r="L44" s="110"/>
      <c r="M44" s="110"/>
      <c r="N44" s="110"/>
      <c r="O44" s="110"/>
      <c r="P44" s="110"/>
      <c r="Q44" s="110"/>
      <c r="R44" s="110"/>
      <c r="S44" s="110"/>
      <c r="T44" s="110"/>
      <c r="U44" s="110"/>
      <c r="V44" s="110"/>
      <c r="W44" s="110"/>
      <c r="X44" s="110"/>
      <c r="Y44" s="110"/>
      <c r="Z44" s="110"/>
      <c r="AA44" s="110"/>
      <c r="AB44" s="110"/>
      <c r="AC44" s="110"/>
      <c r="AD44" s="110"/>
      <c r="AE44" s="110"/>
      <c r="AF44" s="110"/>
      <c r="AG44" s="110"/>
      <c r="AH44" s="101">
        <f>BN29</f>
        <v>4</v>
      </c>
      <c r="AI44" s="100"/>
      <c r="AJ44" s="102"/>
      <c r="AK44" s="100">
        <f>BO29</f>
        <v>2</v>
      </c>
      <c r="AL44" s="100"/>
      <c r="AM44" s="100"/>
      <c r="AN44" s="101">
        <f>BP29</f>
        <v>3</v>
      </c>
      <c r="AO44" s="100"/>
      <c r="AP44" s="39" t="s">
        <v>18</v>
      </c>
      <c r="AQ44" s="100">
        <f>BR29</f>
        <v>6</v>
      </c>
      <c r="AR44" s="102"/>
      <c r="AS44" s="103">
        <f>BS29</f>
        <v>-3</v>
      </c>
      <c r="AT44" s="103"/>
      <c r="AU44" s="104"/>
    </row>
  </sheetData>
  <mergeCells count="164">
    <mergeCell ref="J33:N33"/>
    <mergeCell ref="O33:AD33"/>
    <mergeCell ref="AF33:AV33"/>
    <mergeCell ref="J29:N29"/>
    <mergeCell ref="O29:AD29"/>
    <mergeCell ref="AF29:AV29"/>
    <mergeCell ref="N20:O20"/>
    <mergeCell ref="J31:N31"/>
    <mergeCell ref="O31:AD31"/>
    <mergeCell ref="J32:N32"/>
    <mergeCell ref="O32:AD32"/>
    <mergeCell ref="O24:AV24"/>
    <mergeCell ref="AF27:AV27"/>
    <mergeCell ref="A2:AP2"/>
    <mergeCell ref="A3:AP3"/>
    <mergeCell ref="A4:AP4"/>
    <mergeCell ref="N15:AJ15"/>
    <mergeCell ref="AL10:AP10"/>
    <mergeCell ref="U10:V10"/>
    <mergeCell ref="AK15:AL15"/>
    <mergeCell ref="M6:T6"/>
    <mergeCell ref="Y6:AF6"/>
    <mergeCell ref="B8:AM8"/>
    <mergeCell ref="X10:AB10"/>
    <mergeCell ref="H10:L10"/>
    <mergeCell ref="AK44:AM44"/>
    <mergeCell ref="AN44:AO44"/>
    <mergeCell ref="AQ44:AR44"/>
    <mergeCell ref="I41:J41"/>
    <mergeCell ref="K41:AG41"/>
    <mergeCell ref="K44:AG44"/>
    <mergeCell ref="K42:AG42"/>
    <mergeCell ref="AQ42:AR42"/>
    <mergeCell ref="AS44:AU44"/>
    <mergeCell ref="I44:J44"/>
    <mergeCell ref="K43:AG43"/>
    <mergeCell ref="AH43:AJ43"/>
    <mergeCell ref="AK43:AM43"/>
    <mergeCell ref="AN43:AO43"/>
    <mergeCell ref="AQ43:AR43"/>
    <mergeCell ref="AS43:AU43"/>
    <mergeCell ref="I43:J43"/>
    <mergeCell ref="AH44:AJ44"/>
    <mergeCell ref="AS42:AU42"/>
    <mergeCell ref="I42:J42"/>
    <mergeCell ref="AH41:AJ41"/>
    <mergeCell ref="AK41:AM41"/>
    <mergeCell ref="AN41:AO41"/>
    <mergeCell ref="AQ41:AR41"/>
    <mergeCell ref="J34:N34"/>
    <mergeCell ref="O34:AD34"/>
    <mergeCell ref="AF34:AV34"/>
    <mergeCell ref="AW34:AX34"/>
    <mergeCell ref="AZ34:BA34"/>
    <mergeCell ref="BB34:BC34"/>
    <mergeCell ref="AS41:AU41"/>
    <mergeCell ref="AH42:AJ42"/>
    <mergeCell ref="AK42:AM42"/>
    <mergeCell ref="AN42:AO42"/>
    <mergeCell ref="AS40:AU40"/>
    <mergeCell ref="I40:J40"/>
    <mergeCell ref="AN39:AR39"/>
    <mergeCell ref="AS39:AU39"/>
    <mergeCell ref="AH40:AJ40"/>
    <mergeCell ref="AK40:AM40"/>
    <mergeCell ref="AN40:AO40"/>
    <mergeCell ref="AQ40:AR40"/>
    <mergeCell ref="K40:AG40"/>
    <mergeCell ref="AH39:AJ39"/>
    <mergeCell ref="I39:AG39"/>
    <mergeCell ref="AK39:AM39"/>
    <mergeCell ref="AW27:AX27"/>
    <mergeCell ref="AZ27:BA27"/>
    <mergeCell ref="BB29:BC29"/>
    <mergeCell ref="AF30:AV30"/>
    <mergeCell ref="AW30:AX30"/>
    <mergeCell ref="AW33:AX33"/>
    <mergeCell ref="AZ31:BA31"/>
    <mergeCell ref="BB31:BC31"/>
    <mergeCell ref="AF32:AV32"/>
    <mergeCell ref="AW32:AX32"/>
    <mergeCell ref="AZ32:BA32"/>
    <mergeCell ref="AZ33:BA33"/>
    <mergeCell ref="BB32:BC32"/>
    <mergeCell ref="AF31:AV31"/>
    <mergeCell ref="AW31:AX31"/>
    <mergeCell ref="AW29:AX29"/>
    <mergeCell ref="AZ29:BA29"/>
    <mergeCell ref="BB33:BC33"/>
    <mergeCell ref="B31:C31"/>
    <mergeCell ref="D29:F29"/>
    <mergeCell ref="G29:I29"/>
    <mergeCell ref="D28:F28"/>
    <mergeCell ref="G28:I28"/>
    <mergeCell ref="B32:C32"/>
    <mergeCell ref="B33:C33"/>
    <mergeCell ref="B34:C34"/>
    <mergeCell ref="D31:F31"/>
    <mergeCell ref="G31:I31"/>
    <mergeCell ref="D33:F33"/>
    <mergeCell ref="G33:I33"/>
    <mergeCell ref="D32:F32"/>
    <mergeCell ref="G32:I32"/>
    <mergeCell ref="D30:F30"/>
    <mergeCell ref="G30:I30"/>
    <mergeCell ref="D34:F34"/>
    <mergeCell ref="G34:I34"/>
    <mergeCell ref="BB24:BC24"/>
    <mergeCell ref="AW24:BA24"/>
    <mergeCell ref="J24:N24"/>
    <mergeCell ref="D24:F24"/>
    <mergeCell ref="G24:I24"/>
    <mergeCell ref="B27:C27"/>
    <mergeCell ref="B28:C28"/>
    <mergeCell ref="B29:C29"/>
    <mergeCell ref="B30:C30"/>
    <mergeCell ref="J30:N30"/>
    <mergeCell ref="O30:AD30"/>
    <mergeCell ref="J28:N28"/>
    <mergeCell ref="O28:AD28"/>
    <mergeCell ref="AZ30:BA30"/>
    <mergeCell ref="BB30:BC30"/>
    <mergeCell ref="J27:N27"/>
    <mergeCell ref="BB27:BC27"/>
    <mergeCell ref="BB28:BC28"/>
    <mergeCell ref="AF28:AV28"/>
    <mergeCell ref="AW28:AX28"/>
    <mergeCell ref="AZ28:BA28"/>
    <mergeCell ref="D27:F27"/>
    <mergeCell ref="G27:I27"/>
    <mergeCell ref="O27:AD27"/>
    <mergeCell ref="BB25:BC25"/>
    <mergeCell ref="AW25:AX25"/>
    <mergeCell ref="AZ25:BA25"/>
    <mergeCell ref="AW26:AX26"/>
    <mergeCell ref="AZ26:BA26"/>
    <mergeCell ref="BB26:BC26"/>
    <mergeCell ref="B25:C25"/>
    <mergeCell ref="D25:F25"/>
    <mergeCell ref="G25:I25"/>
    <mergeCell ref="J25:N25"/>
    <mergeCell ref="AK18:AL18"/>
    <mergeCell ref="AK19:AL19"/>
    <mergeCell ref="AK16:AL16"/>
    <mergeCell ref="AK17:AL17"/>
    <mergeCell ref="B26:C26"/>
    <mergeCell ref="O26:AD26"/>
    <mergeCell ref="AF26:AV26"/>
    <mergeCell ref="J26:N26"/>
    <mergeCell ref="D26:F26"/>
    <mergeCell ref="G26:I26"/>
    <mergeCell ref="O25:AD25"/>
    <mergeCell ref="AF25:AV25"/>
    <mergeCell ref="B24:C24"/>
    <mergeCell ref="P16:AJ16"/>
    <mergeCell ref="P17:AJ17"/>
    <mergeCell ref="P18:AJ18"/>
    <mergeCell ref="P19:AJ19"/>
    <mergeCell ref="P20:AJ20"/>
    <mergeCell ref="N16:O16"/>
    <mergeCell ref="N17:O17"/>
    <mergeCell ref="N18:O18"/>
    <mergeCell ref="N19:O19"/>
    <mergeCell ref="AK20:AL20"/>
  </mergeCells>
  <phoneticPr fontId="2" type="noConversion"/>
  <pageMargins left="0.39370078740157483" right="0.39370078740157483" top="0.39370078740157483" bottom="0.39370078740157483" header="0" footer="0"/>
  <pageSetup paperSize="9" orientation="portrait" r:id="rId1"/>
  <headerFooter alignWithMargins="0">
    <oddFooter xml:space="preserve">&amp;C                                  &amp;F&amp;R&amp;P von &amp;N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DL44"/>
  <sheetViews>
    <sheetView zoomScale="112" zoomScaleNormal="70" workbookViewId="0">
      <selection activeCell="AR21" sqref="AR21"/>
    </sheetView>
  </sheetViews>
  <sheetFormatPr baseColWidth="10" defaultColWidth="1.7109375" defaultRowHeight="12.75" x14ac:dyDescent="0.2"/>
  <cols>
    <col min="1" max="55" width="1.7109375" customWidth="1"/>
    <col min="56" max="56" width="1.7109375" style="7" customWidth="1"/>
    <col min="57" max="57" width="1.7109375" style="40" customWidth="1"/>
    <col min="58" max="58" width="2.85546875" style="40" customWidth="1"/>
    <col min="59" max="59" width="2.140625" style="40" customWidth="1"/>
    <col min="60" max="60" width="2.85546875" style="40" customWidth="1"/>
    <col min="61" max="64" width="1.7109375" style="40" customWidth="1"/>
    <col min="65" max="65" width="3.42578125" style="40" bestFit="1" customWidth="1"/>
    <col min="66" max="66" width="2.28515625" style="40" customWidth="1"/>
    <col min="67" max="68" width="2.140625" style="40" bestFit="1" customWidth="1"/>
    <col min="69" max="69" width="2.28515625" style="40" customWidth="1"/>
    <col min="70" max="70" width="2.5703125" style="40" customWidth="1"/>
    <col min="71" max="71" width="2.140625" style="40" bestFit="1" customWidth="1"/>
    <col min="72" max="73" width="1.7109375" style="40" customWidth="1"/>
    <col min="74" max="80" width="1.7109375" style="41" customWidth="1"/>
    <col min="81" max="90" width="1.7109375" style="31" customWidth="1"/>
    <col min="91" max="98" width="1.7109375" style="7" customWidth="1"/>
    <col min="99" max="115" width="1.7109375" style="31" customWidth="1"/>
    <col min="116" max="116" width="1.7109375" style="7" customWidth="1"/>
  </cols>
  <sheetData>
    <row r="1" spans="1:115" ht="7.5" customHeight="1" x14ac:dyDescent="0.2"/>
    <row r="2" spans="1:115" ht="33" x14ac:dyDescent="0.2">
      <c r="A2" s="76" t="s">
        <v>38</v>
      </c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19"/>
      <c r="AR2" s="20"/>
      <c r="AS2" s="20"/>
      <c r="AT2" s="20"/>
      <c r="AU2" s="20"/>
      <c r="AV2" s="20"/>
      <c r="AW2" s="20"/>
      <c r="AX2" s="20"/>
      <c r="AY2" s="20"/>
      <c r="AZ2" s="20"/>
      <c r="BA2" s="20"/>
      <c r="BB2" s="20"/>
      <c r="BC2" s="21"/>
    </row>
    <row r="3" spans="1:115" s="11" customFormat="1" ht="27" x14ac:dyDescent="0.5">
      <c r="A3" s="77" t="s">
        <v>39</v>
      </c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7"/>
      <c r="AB3" s="77"/>
      <c r="AC3" s="77"/>
      <c r="AD3" s="77"/>
      <c r="AE3" s="77"/>
      <c r="AF3" s="77"/>
      <c r="AG3" s="77"/>
      <c r="AH3" s="77"/>
      <c r="AI3" s="77"/>
      <c r="AJ3" s="77"/>
      <c r="AK3" s="77"/>
      <c r="AL3" s="77"/>
      <c r="AM3" s="77"/>
      <c r="AN3" s="77"/>
      <c r="AO3" s="77"/>
      <c r="AP3" s="77"/>
      <c r="AQ3" s="22"/>
      <c r="AR3" s="23"/>
      <c r="AS3" s="23"/>
      <c r="AT3" s="23" t="s">
        <v>25</v>
      </c>
      <c r="AU3" s="23"/>
      <c r="AV3" s="23"/>
      <c r="AW3" s="23"/>
      <c r="AX3" s="23"/>
      <c r="AY3" s="23"/>
      <c r="AZ3" s="23"/>
      <c r="BA3" s="23"/>
      <c r="BB3" s="23"/>
      <c r="BC3" s="24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3"/>
      <c r="BW3" s="43"/>
      <c r="BX3" s="43"/>
      <c r="BY3" s="43"/>
      <c r="BZ3" s="43"/>
      <c r="CA3" s="43"/>
      <c r="CB3" s="43"/>
      <c r="CC3" s="32"/>
      <c r="CD3" s="32"/>
      <c r="CE3" s="32"/>
      <c r="CF3" s="32"/>
      <c r="CG3" s="32"/>
      <c r="CH3" s="32"/>
      <c r="CI3" s="32"/>
      <c r="CJ3" s="32"/>
      <c r="CK3" s="32"/>
      <c r="CL3" s="32"/>
      <c r="CU3" s="32"/>
      <c r="CV3" s="32"/>
      <c r="CW3" s="32"/>
      <c r="CX3" s="32"/>
      <c r="CY3" s="32"/>
      <c r="CZ3" s="32"/>
      <c r="DA3" s="32"/>
      <c r="DB3" s="32"/>
      <c r="DC3" s="32"/>
      <c r="DD3" s="32"/>
      <c r="DE3" s="32"/>
      <c r="DF3" s="32"/>
      <c r="DG3" s="32"/>
      <c r="DH3" s="32"/>
      <c r="DI3" s="32"/>
      <c r="DJ3" s="32"/>
      <c r="DK3" s="32"/>
    </row>
    <row r="4" spans="1:115" s="2" customFormat="1" ht="15" x14ac:dyDescent="0.2">
      <c r="A4" s="78"/>
      <c r="B4" s="78"/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  <c r="X4" s="78"/>
      <c r="Y4" s="78"/>
      <c r="Z4" s="78"/>
      <c r="AA4" s="78"/>
      <c r="AB4" s="78"/>
      <c r="AC4" s="78"/>
      <c r="AD4" s="78"/>
      <c r="AE4" s="78"/>
      <c r="AF4" s="78"/>
      <c r="AG4" s="78"/>
      <c r="AH4" s="78"/>
      <c r="AI4" s="78"/>
      <c r="AJ4" s="78"/>
      <c r="AK4" s="78"/>
      <c r="AL4" s="78"/>
      <c r="AM4" s="78"/>
      <c r="AN4" s="78"/>
      <c r="AO4" s="78"/>
      <c r="AP4" s="78"/>
      <c r="AQ4" s="25"/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7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  <c r="BU4" s="44"/>
      <c r="BV4" s="45"/>
      <c r="BW4" s="45"/>
      <c r="BX4" s="45"/>
      <c r="BY4" s="45"/>
      <c r="BZ4" s="45"/>
      <c r="CA4" s="45"/>
      <c r="CB4" s="45"/>
      <c r="CC4" s="33"/>
      <c r="CD4" s="33"/>
      <c r="CE4" s="33"/>
      <c r="CF4" s="33"/>
      <c r="CG4" s="33"/>
      <c r="CH4" s="33"/>
      <c r="CI4" s="33"/>
      <c r="CJ4" s="33"/>
      <c r="CK4" s="33"/>
      <c r="CL4" s="33"/>
      <c r="CU4" s="33"/>
      <c r="CV4" s="33"/>
      <c r="CW4" s="33"/>
      <c r="CX4" s="33"/>
      <c r="CY4" s="33"/>
      <c r="CZ4" s="33"/>
      <c r="DA4" s="33"/>
      <c r="DB4" s="33"/>
      <c r="DC4" s="33"/>
      <c r="DD4" s="33"/>
      <c r="DE4" s="33"/>
      <c r="DF4" s="33"/>
      <c r="DG4" s="33"/>
      <c r="DH4" s="33"/>
      <c r="DI4" s="33"/>
      <c r="DJ4" s="33"/>
      <c r="DK4" s="33"/>
    </row>
    <row r="5" spans="1:115" s="2" customFormat="1" ht="6" customHeight="1" x14ac:dyDescent="0.2">
      <c r="AQ5" s="25"/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7"/>
      <c r="BE5" s="44"/>
      <c r="BF5" s="44"/>
      <c r="BG5" s="44"/>
      <c r="BH5" s="44"/>
      <c r="BI5" s="44"/>
      <c r="BJ5" s="44"/>
      <c r="BK5" s="44"/>
      <c r="BL5" s="44"/>
      <c r="BM5" s="44"/>
      <c r="BN5" s="44"/>
      <c r="BO5" s="44"/>
      <c r="BP5" s="44"/>
      <c r="BQ5" s="44"/>
      <c r="BR5" s="44"/>
      <c r="BS5" s="44"/>
      <c r="BT5" s="44"/>
      <c r="BU5" s="44"/>
      <c r="BV5" s="45"/>
      <c r="BW5" s="45"/>
      <c r="BX5" s="45"/>
      <c r="BY5" s="45"/>
      <c r="BZ5" s="45"/>
      <c r="CA5" s="45"/>
      <c r="CB5" s="45"/>
      <c r="CC5" s="33"/>
      <c r="CD5" s="33"/>
      <c r="CE5" s="33"/>
      <c r="CF5" s="33"/>
      <c r="CG5" s="33"/>
      <c r="CH5" s="33"/>
      <c r="CI5" s="33"/>
      <c r="CJ5" s="33"/>
      <c r="CK5" s="33"/>
      <c r="CL5" s="33"/>
      <c r="CU5" s="33"/>
      <c r="CV5" s="33"/>
      <c r="CW5" s="33"/>
      <c r="CX5" s="33"/>
      <c r="CY5" s="33"/>
      <c r="CZ5" s="33"/>
      <c r="DA5" s="33"/>
      <c r="DB5" s="33"/>
      <c r="DC5" s="33"/>
      <c r="DD5" s="33"/>
      <c r="DE5" s="33"/>
      <c r="DF5" s="33"/>
      <c r="DG5" s="33"/>
      <c r="DH5" s="33"/>
      <c r="DI5" s="33"/>
      <c r="DJ5" s="33"/>
      <c r="DK5" s="33"/>
    </row>
    <row r="6" spans="1:115" s="2" customFormat="1" ht="15.75" x14ac:dyDescent="0.25">
      <c r="L6" s="3" t="s">
        <v>0</v>
      </c>
      <c r="M6" s="86" t="s">
        <v>1</v>
      </c>
      <c r="N6" s="86"/>
      <c r="O6" s="86"/>
      <c r="P6" s="86"/>
      <c r="Q6" s="86"/>
      <c r="R6" s="86"/>
      <c r="S6" s="86"/>
      <c r="T6" s="86"/>
      <c r="U6" s="2" t="s">
        <v>2</v>
      </c>
      <c r="Y6" s="87">
        <v>39312</v>
      </c>
      <c r="Z6" s="87"/>
      <c r="AA6" s="87"/>
      <c r="AB6" s="87"/>
      <c r="AC6" s="87"/>
      <c r="AD6" s="87"/>
      <c r="AE6" s="87"/>
      <c r="AF6" s="87"/>
      <c r="AQ6" s="25"/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7"/>
      <c r="BE6" s="44"/>
      <c r="BF6" s="44"/>
      <c r="BG6" s="44"/>
      <c r="BH6" s="44"/>
      <c r="BI6" s="44"/>
      <c r="BJ6" s="44"/>
      <c r="BK6" s="44"/>
      <c r="BL6" s="44"/>
      <c r="BM6" s="44"/>
      <c r="BN6" s="44"/>
      <c r="BO6" s="44"/>
      <c r="BP6" s="44"/>
      <c r="BQ6" s="44"/>
      <c r="BR6" s="44"/>
      <c r="BS6" s="44"/>
      <c r="BT6" s="44"/>
      <c r="BU6" s="44"/>
      <c r="BV6" s="45"/>
      <c r="BW6" s="45"/>
      <c r="BX6" s="45"/>
      <c r="BY6" s="45"/>
      <c r="BZ6" s="45"/>
      <c r="CA6" s="45"/>
      <c r="CB6" s="45"/>
      <c r="CC6" s="33"/>
      <c r="CD6" s="33"/>
      <c r="CE6" s="33"/>
      <c r="CF6" s="33"/>
      <c r="CG6" s="33"/>
      <c r="CH6" s="33"/>
      <c r="CI6" s="33"/>
      <c r="CJ6" s="33"/>
      <c r="CK6" s="33"/>
      <c r="CL6" s="33"/>
      <c r="CU6" s="33"/>
      <c r="CV6" s="33"/>
      <c r="CW6" s="33"/>
      <c r="CX6" s="33"/>
      <c r="CY6" s="33"/>
      <c r="CZ6" s="33"/>
      <c r="DA6" s="33"/>
      <c r="DB6" s="33"/>
      <c r="DC6" s="33"/>
      <c r="DD6" s="33"/>
      <c r="DE6" s="33"/>
      <c r="DF6" s="33"/>
      <c r="DG6" s="33"/>
      <c r="DH6" s="33"/>
      <c r="DI6" s="33"/>
      <c r="DJ6" s="33"/>
      <c r="DK6" s="33"/>
    </row>
    <row r="7" spans="1:115" s="2" customFormat="1" ht="6" customHeight="1" x14ac:dyDescent="0.2">
      <c r="AQ7" s="25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7"/>
      <c r="BE7" s="44"/>
      <c r="BF7" s="44"/>
      <c r="BG7" s="44"/>
      <c r="BH7" s="44"/>
      <c r="BI7" s="44"/>
      <c r="BJ7" s="44"/>
      <c r="BK7" s="44"/>
      <c r="BL7" s="44"/>
      <c r="BM7" s="44"/>
      <c r="BN7" s="44"/>
      <c r="BO7" s="44"/>
      <c r="BP7" s="44"/>
      <c r="BQ7" s="44"/>
      <c r="BR7" s="44"/>
      <c r="BS7" s="44"/>
      <c r="BT7" s="44"/>
      <c r="BU7" s="44"/>
      <c r="BV7" s="45"/>
      <c r="BW7" s="45"/>
      <c r="BX7" s="45"/>
      <c r="BY7" s="45"/>
      <c r="BZ7" s="45"/>
      <c r="CA7" s="45"/>
      <c r="CB7" s="45"/>
      <c r="CC7" s="33"/>
      <c r="CD7" s="33"/>
      <c r="CE7" s="33"/>
      <c r="CF7" s="33"/>
      <c r="CG7" s="33"/>
      <c r="CH7" s="33"/>
      <c r="CI7" s="33"/>
      <c r="CJ7" s="33"/>
      <c r="CK7" s="33"/>
      <c r="CL7" s="33"/>
      <c r="CU7" s="33"/>
      <c r="CV7" s="33"/>
      <c r="CW7" s="33"/>
      <c r="CX7" s="33"/>
      <c r="CY7" s="33"/>
      <c r="CZ7" s="33"/>
      <c r="DA7" s="33"/>
      <c r="DB7" s="33"/>
      <c r="DC7" s="33"/>
      <c r="DD7" s="33"/>
      <c r="DE7" s="33"/>
      <c r="DF7" s="33"/>
      <c r="DG7" s="33"/>
      <c r="DH7" s="33"/>
      <c r="DI7" s="33"/>
      <c r="DJ7" s="33"/>
      <c r="DK7" s="33"/>
    </row>
    <row r="8" spans="1:115" s="2" customFormat="1" ht="15" x14ac:dyDescent="0.2">
      <c r="B8" s="88" t="s">
        <v>40</v>
      </c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Q8" s="28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30"/>
      <c r="BE8" s="44"/>
      <c r="BF8" s="44"/>
      <c r="BG8" s="44"/>
      <c r="BH8" s="44"/>
      <c r="BI8" s="44"/>
      <c r="BJ8" s="44"/>
      <c r="BK8" s="44"/>
      <c r="BL8" s="44"/>
      <c r="BM8" s="44"/>
      <c r="BN8" s="44"/>
      <c r="BO8" s="44"/>
      <c r="BP8" s="44"/>
      <c r="BQ8" s="44"/>
      <c r="BR8" s="44"/>
      <c r="BS8" s="44"/>
      <c r="BT8" s="44"/>
      <c r="BU8" s="44"/>
      <c r="BV8" s="45"/>
      <c r="BW8" s="45"/>
      <c r="BX8" s="45"/>
      <c r="BY8" s="45"/>
      <c r="BZ8" s="45"/>
      <c r="CA8" s="45"/>
      <c r="CB8" s="45"/>
      <c r="CC8" s="33"/>
      <c r="CD8" s="33"/>
      <c r="CE8" s="33"/>
      <c r="CF8" s="33"/>
      <c r="CG8" s="33"/>
      <c r="CH8" s="33"/>
      <c r="CI8" s="33"/>
      <c r="CJ8" s="33"/>
      <c r="CK8" s="33"/>
      <c r="CL8" s="33"/>
      <c r="CU8" s="33"/>
      <c r="CV8" s="33"/>
      <c r="CW8" s="33"/>
      <c r="CX8" s="33"/>
      <c r="CY8" s="33"/>
      <c r="CZ8" s="33"/>
      <c r="DA8" s="33"/>
      <c r="DB8" s="33"/>
      <c r="DC8" s="33"/>
      <c r="DD8" s="33"/>
      <c r="DE8" s="33"/>
      <c r="DF8" s="33"/>
      <c r="DG8" s="33"/>
      <c r="DH8" s="33"/>
      <c r="DI8" s="33"/>
      <c r="DJ8" s="33"/>
      <c r="DK8" s="33"/>
    </row>
    <row r="9" spans="1:115" s="2" customFormat="1" ht="6" customHeight="1" x14ac:dyDescent="0.2">
      <c r="BE9" s="44"/>
      <c r="BF9" s="44"/>
      <c r="BG9" s="44"/>
      <c r="BH9" s="44"/>
      <c r="BI9" s="44"/>
      <c r="BJ9" s="44"/>
      <c r="BK9" s="44"/>
      <c r="BL9" s="44"/>
      <c r="BM9" s="44"/>
      <c r="BN9" s="44"/>
      <c r="BO9" s="44"/>
      <c r="BP9" s="44"/>
      <c r="BQ9" s="44"/>
      <c r="BR9" s="44"/>
      <c r="BS9" s="44"/>
      <c r="BT9" s="44"/>
      <c r="BU9" s="44"/>
      <c r="BV9" s="45"/>
      <c r="BW9" s="45"/>
      <c r="BX9" s="45"/>
      <c r="BY9" s="45"/>
      <c r="BZ9" s="45"/>
      <c r="CA9" s="45"/>
      <c r="CB9" s="45"/>
      <c r="CC9" s="33"/>
      <c r="CD9" s="33"/>
      <c r="CE9" s="33"/>
      <c r="CF9" s="33"/>
      <c r="CG9" s="33"/>
      <c r="CH9" s="33"/>
      <c r="CI9" s="33"/>
      <c r="CJ9" s="33"/>
      <c r="CK9" s="33"/>
      <c r="CL9" s="33"/>
      <c r="CU9" s="33"/>
      <c r="CV9" s="33"/>
      <c r="CW9" s="33"/>
      <c r="CX9" s="33"/>
      <c r="CY9" s="33"/>
      <c r="CZ9" s="33"/>
      <c r="DA9" s="33"/>
      <c r="DB9" s="33"/>
      <c r="DC9" s="33"/>
      <c r="DD9" s="33"/>
      <c r="DE9" s="33"/>
      <c r="DF9" s="33"/>
      <c r="DG9" s="33"/>
      <c r="DH9" s="33"/>
      <c r="DI9" s="33"/>
      <c r="DJ9" s="33"/>
      <c r="DK9" s="33"/>
    </row>
    <row r="10" spans="1:115" s="2" customFormat="1" ht="15.75" x14ac:dyDescent="0.25">
      <c r="G10" s="6" t="s">
        <v>3</v>
      </c>
      <c r="H10" s="130">
        <v>0.625</v>
      </c>
      <c r="I10" s="130"/>
      <c r="J10" s="130"/>
      <c r="K10" s="130"/>
      <c r="L10" s="130"/>
      <c r="M10" s="7" t="s">
        <v>4</v>
      </c>
      <c r="T10" s="6" t="s">
        <v>5</v>
      </c>
      <c r="U10" s="83">
        <v>2</v>
      </c>
      <c r="V10" s="83" t="s">
        <v>6</v>
      </c>
      <c r="W10" s="18" t="s">
        <v>26</v>
      </c>
      <c r="X10" s="82">
        <v>5.208333333333333E-3</v>
      </c>
      <c r="Y10" s="82"/>
      <c r="Z10" s="82"/>
      <c r="AA10" s="82"/>
      <c r="AB10" s="82"/>
      <c r="AC10" s="7" t="s">
        <v>7</v>
      </c>
      <c r="AK10" s="6" t="s">
        <v>8</v>
      </c>
      <c r="AL10" s="82">
        <v>0</v>
      </c>
      <c r="AM10" s="82"/>
      <c r="AN10" s="82"/>
      <c r="AO10" s="82"/>
      <c r="AP10" s="82"/>
      <c r="AQ10" s="7" t="s">
        <v>7</v>
      </c>
      <c r="BE10" s="44"/>
      <c r="BF10" s="44"/>
      <c r="BG10" s="44"/>
      <c r="BH10" s="44"/>
      <c r="BI10" s="44"/>
      <c r="BJ10" s="44"/>
      <c r="BK10" s="44"/>
      <c r="BL10" s="44"/>
      <c r="BM10" s="44"/>
      <c r="BN10" s="44"/>
      <c r="BO10" s="44"/>
      <c r="BP10" s="44"/>
      <c r="BQ10" s="44"/>
      <c r="BR10" s="44"/>
      <c r="BS10" s="44"/>
      <c r="BT10" s="44"/>
      <c r="BU10" s="44"/>
      <c r="BV10" s="45"/>
      <c r="BW10" s="45"/>
      <c r="BX10" s="45"/>
      <c r="BY10" s="45"/>
      <c r="BZ10" s="45"/>
      <c r="CA10" s="45"/>
      <c r="CB10" s="45"/>
      <c r="CC10" s="33"/>
      <c r="CD10" s="33"/>
      <c r="CE10" s="33"/>
      <c r="CF10" s="33"/>
      <c r="CG10" s="33"/>
      <c r="CH10" s="33"/>
      <c r="CI10" s="33"/>
      <c r="CJ10" s="33"/>
      <c r="CK10" s="33"/>
      <c r="CL10" s="33"/>
      <c r="CU10" s="33"/>
      <c r="CV10" s="33"/>
      <c r="CW10" s="33"/>
      <c r="CX10" s="33"/>
      <c r="CY10" s="33"/>
      <c r="CZ10" s="33"/>
      <c r="DA10" s="33"/>
      <c r="DB10" s="33"/>
      <c r="DC10" s="33"/>
      <c r="DD10" s="33"/>
      <c r="DE10" s="33"/>
      <c r="DF10" s="33"/>
      <c r="DG10" s="33"/>
      <c r="DH10" s="33"/>
      <c r="DI10" s="33"/>
      <c r="DJ10" s="33"/>
      <c r="DK10" s="33"/>
    </row>
    <row r="11" spans="1:115" ht="9" customHeight="1" x14ac:dyDescent="0.2"/>
    <row r="12" spans="1:115" ht="6" customHeight="1" x14ac:dyDescent="0.2"/>
    <row r="13" spans="1:115" x14ac:dyDescent="0.2">
      <c r="B13" s="1" t="s">
        <v>9</v>
      </c>
    </row>
    <row r="14" spans="1:115" ht="6" customHeight="1" thickBot="1" x14ac:dyDescent="0.25"/>
    <row r="15" spans="1:115" ht="16.5" thickBot="1" x14ac:dyDescent="0.3">
      <c r="N15" s="79" t="s">
        <v>30</v>
      </c>
      <c r="O15" s="80"/>
      <c r="P15" s="80"/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  <c r="AD15" s="80"/>
      <c r="AE15" s="80"/>
      <c r="AF15" s="80"/>
      <c r="AG15" s="80"/>
      <c r="AH15" s="80"/>
      <c r="AI15" s="80"/>
      <c r="AJ15" s="81"/>
      <c r="AK15" s="84"/>
      <c r="AL15" s="85"/>
    </row>
    <row r="16" spans="1:115" ht="15" x14ac:dyDescent="0.2">
      <c r="N16" s="143" t="s">
        <v>10</v>
      </c>
      <c r="O16" s="144"/>
      <c r="P16" s="137" t="s">
        <v>33</v>
      </c>
      <c r="Q16" s="137"/>
      <c r="R16" s="137"/>
      <c r="S16" s="137"/>
      <c r="T16" s="137"/>
      <c r="U16" s="137"/>
      <c r="V16" s="137"/>
      <c r="W16" s="137"/>
      <c r="X16" s="137"/>
      <c r="Y16" s="137"/>
      <c r="Z16" s="137"/>
      <c r="AA16" s="137"/>
      <c r="AB16" s="137"/>
      <c r="AC16" s="137"/>
      <c r="AD16" s="137"/>
      <c r="AE16" s="137"/>
      <c r="AF16" s="137"/>
      <c r="AG16" s="137"/>
      <c r="AH16" s="137"/>
      <c r="AI16" s="137"/>
      <c r="AJ16" s="138"/>
      <c r="AK16" s="133"/>
      <c r="AL16" s="134"/>
    </row>
    <row r="17" spans="2:116" ht="15" x14ac:dyDescent="0.2">
      <c r="N17" s="145" t="s">
        <v>11</v>
      </c>
      <c r="O17" s="146"/>
      <c r="P17" s="139" t="s">
        <v>34</v>
      </c>
      <c r="Q17" s="139"/>
      <c r="R17" s="139"/>
      <c r="S17" s="139"/>
      <c r="T17" s="139"/>
      <c r="U17" s="139"/>
      <c r="V17" s="139"/>
      <c r="W17" s="139"/>
      <c r="X17" s="139"/>
      <c r="Y17" s="139"/>
      <c r="Z17" s="139"/>
      <c r="AA17" s="139"/>
      <c r="AB17" s="139"/>
      <c r="AC17" s="139"/>
      <c r="AD17" s="139"/>
      <c r="AE17" s="139"/>
      <c r="AF17" s="139"/>
      <c r="AG17" s="139"/>
      <c r="AH17" s="139"/>
      <c r="AI17" s="139"/>
      <c r="AJ17" s="140"/>
      <c r="AK17" s="131"/>
      <c r="AL17" s="132"/>
    </row>
    <row r="18" spans="2:116" ht="15" x14ac:dyDescent="0.2">
      <c r="N18" s="145" t="s">
        <v>12</v>
      </c>
      <c r="O18" s="146"/>
      <c r="P18" s="139" t="s">
        <v>35</v>
      </c>
      <c r="Q18" s="139"/>
      <c r="R18" s="139"/>
      <c r="S18" s="139"/>
      <c r="T18" s="139"/>
      <c r="U18" s="139"/>
      <c r="V18" s="139"/>
      <c r="W18" s="139"/>
      <c r="X18" s="139"/>
      <c r="Y18" s="139"/>
      <c r="Z18" s="139"/>
      <c r="AA18" s="139"/>
      <c r="AB18" s="139"/>
      <c r="AC18" s="139"/>
      <c r="AD18" s="139"/>
      <c r="AE18" s="139"/>
      <c r="AF18" s="139"/>
      <c r="AG18" s="139"/>
      <c r="AH18" s="139"/>
      <c r="AI18" s="139"/>
      <c r="AJ18" s="140"/>
      <c r="AK18" s="131"/>
      <c r="AL18" s="132"/>
    </row>
    <row r="19" spans="2:116" ht="15" x14ac:dyDescent="0.2">
      <c r="N19" s="145" t="s">
        <v>13</v>
      </c>
      <c r="O19" s="146"/>
      <c r="P19" s="139" t="s">
        <v>36</v>
      </c>
      <c r="Q19" s="139"/>
      <c r="R19" s="139"/>
      <c r="S19" s="139"/>
      <c r="T19" s="139"/>
      <c r="U19" s="139"/>
      <c r="V19" s="139"/>
      <c r="W19" s="139"/>
      <c r="X19" s="139"/>
      <c r="Y19" s="139"/>
      <c r="Z19" s="139"/>
      <c r="AA19" s="139"/>
      <c r="AB19" s="139"/>
      <c r="AC19" s="139"/>
      <c r="AD19" s="139"/>
      <c r="AE19" s="139"/>
      <c r="AF19" s="139"/>
      <c r="AG19" s="139"/>
      <c r="AH19" s="139"/>
      <c r="AI19" s="139"/>
      <c r="AJ19" s="140"/>
      <c r="AK19" s="131"/>
      <c r="AL19" s="132"/>
    </row>
    <row r="20" spans="2:116" ht="15.75" thickBot="1" x14ac:dyDescent="0.25">
      <c r="N20" s="135" t="s">
        <v>14</v>
      </c>
      <c r="O20" s="136"/>
      <c r="P20" s="141" t="s">
        <v>37</v>
      </c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41"/>
      <c r="AC20" s="141"/>
      <c r="AD20" s="141"/>
      <c r="AE20" s="141"/>
      <c r="AF20" s="141"/>
      <c r="AG20" s="141"/>
      <c r="AH20" s="141"/>
      <c r="AI20" s="141"/>
      <c r="AJ20" s="142"/>
      <c r="AK20" s="147"/>
      <c r="AL20" s="148"/>
    </row>
    <row r="22" spans="2:116" x14ac:dyDescent="0.2">
      <c r="B22" s="1" t="s">
        <v>32</v>
      </c>
    </row>
    <row r="23" spans="2:116" ht="6" customHeight="1" thickBot="1" x14ac:dyDescent="0.25"/>
    <row r="24" spans="2:116" s="4" customFormat="1" ht="16.5" customHeight="1" thickBot="1" x14ac:dyDescent="0.25">
      <c r="B24" s="95" t="s">
        <v>15</v>
      </c>
      <c r="C24" s="96"/>
      <c r="D24" s="97" t="s">
        <v>27</v>
      </c>
      <c r="E24" s="98"/>
      <c r="F24" s="99"/>
      <c r="G24" s="97"/>
      <c r="H24" s="98"/>
      <c r="I24" s="99"/>
      <c r="J24" s="97" t="s">
        <v>16</v>
      </c>
      <c r="K24" s="98"/>
      <c r="L24" s="98"/>
      <c r="M24" s="98"/>
      <c r="N24" s="99"/>
      <c r="O24" s="97" t="s">
        <v>17</v>
      </c>
      <c r="P24" s="98"/>
      <c r="Q24" s="98"/>
      <c r="R24" s="98"/>
      <c r="S24" s="98"/>
      <c r="T24" s="98"/>
      <c r="U24" s="98"/>
      <c r="V24" s="98"/>
      <c r="W24" s="98"/>
      <c r="X24" s="98"/>
      <c r="Y24" s="98"/>
      <c r="Z24" s="98"/>
      <c r="AA24" s="98"/>
      <c r="AB24" s="98"/>
      <c r="AC24" s="98"/>
      <c r="AD24" s="98"/>
      <c r="AE24" s="98"/>
      <c r="AF24" s="98"/>
      <c r="AG24" s="98"/>
      <c r="AH24" s="98"/>
      <c r="AI24" s="98"/>
      <c r="AJ24" s="98"/>
      <c r="AK24" s="98"/>
      <c r="AL24" s="98"/>
      <c r="AM24" s="98"/>
      <c r="AN24" s="98"/>
      <c r="AO24" s="98"/>
      <c r="AP24" s="98"/>
      <c r="AQ24" s="98"/>
      <c r="AR24" s="98"/>
      <c r="AS24" s="98"/>
      <c r="AT24" s="98"/>
      <c r="AU24" s="98"/>
      <c r="AV24" s="99"/>
      <c r="AW24" s="97" t="s">
        <v>20</v>
      </c>
      <c r="AX24" s="98"/>
      <c r="AY24" s="98"/>
      <c r="AZ24" s="98"/>
      <c r="BA24" s="99"/>
      <c r="BB24" s="149"/>
      <c r="BC24" s="150"/>
      <c r="BD24" s="58"/>
      <c r="BE24" s="46"/>
      <c r="BF24" s="47" t="s">
        <v>24</v>
      </c>
      <c r="BG24" s="48"/>
      <c r="BH24" s="48"/>
      <c r="BI24" s="46"/>
      <c r="BJ24" s="46"/>
      <c r="BK24" s="46"/>
      <c r="BL24" s="46"/>
      <c r="BM24" s="46"/>
      <c r="BN24" s="46"/>
      <c r="BO24" s="46"/>
      <c r="BP24" s="46"/>
      <c r="BQ24" s="46"/>
      <c r="BR24" s="46"/>
      <c r="BS24" s="46"/>
      <c r="BT24" s="46"/>
      <c r="BU24" s="46"/>
      <c r="BV24" s="49"/>
      <c r="BW24" s="49"/>
      <c r="BX24" s="49"/>
      <c r="BY24" s="49"/>
      <c r="BZ24" s="49"/>
      <c r="CA24" s="49"/>
      <c r="CB24" s="49"/>
      <c r="CC24" s="34"/>
      <c r="CD24" s="34"/>
      <c r="CE24" s="34"/>
      <c r="CF24" s="34"/>
      <c r="CG24" s="34"/>
      <c r="CH24" s="34"/>
      <c r="CI24" s="34"/>
      <c r="CJ24" s="34"/>
      <c r="CK24" s="34"/>
      <c r="CL24" s="34"/>
      <c r="CM24" s="58"/>
      <c r="CN24" s="58"/>
      <c r="CO24" s="58"/>
      <c r="CP24" s="58"/>
      <c r="CQ24" s="58"/>
      <c r="CR24" s="58"/>
      <c r="CS24" s="58"/>
      <c r="CT24" s="58"/>
      <c r="CU24" s="34"/>
      <c r="CV24" s="34"/>
      <c r="CW24" s="34"/>
      <c r="CX24" s="34"/>
      <c r="CY24" s="34"/>
      <c r="CZ24" s="34"/>
      <c r="DA24" s="34"/>
      <c r="DB24" s="34"/>
      <c r="DC24" s="34"/>
      <c r="DD24" s="34"/>
      <c r="DE24" s="34"/>
      <c r="DF24" s="34"/>
      <c r="DG24" s="34"/>
      <c r="DH24" s="34"/>
      <c r="DI24" s="34"/>
      <c r="DJ24" s="34"/>
      <c r="DK24" s="34"/>
      <c r="DL24" s="58"/>
    </row>
    <row r="25" spans="2:116" s="5" customFormat="1" ht="18" customHeight="1" x14ac:dyDescent="0.2">
      <c r="B25" s="93">
        <v>1</v>
      </c>
      <c r="C25" s="94"/>
      <c r="D25" s="94">
        <v>1</v>
      </c>
      <c r="E25" s="94"/>
      <c r="F25" s="94"/>
      <c r="G25" s="94"/>
      <c r="H25" s="94"/>
      <c r="I25" s="94"/>
      <c r="J25" s="128">
        <f>$H$10</f>
        <v>0.625</v>
      </c>
      <c r="K25" s="128"/>
      <c r="L25" s="128"/>
      <c r="M25" s="128"/>
      <c r="N25" s="129"/>
      <c r="O25" s="71" t="str">
        <f>P16</f>
        <v>Oschwand</v>
      </c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  <c r="AA25" s="72"/>
      <c r="AB25" s="72"/>
      <c r="AC25" s="72"/>
      <c r="AD25" s="72"/>
      <c r="AE25" s="12" t="s">
        <v>19</v>
      </c>
      <c r="AF25" s="72" t="str">
        <f>P17</f>
        <v>Bethli</v>
      </c>
      <c r="AG25" s="72"/>
      <c r="AH25" s="72"/>
      <c r="AI25" s="72"/>
      <c r="AJ25" s="72"/>
      <c r="AK25" s="72"/>
      <c r="AL25" s="72"/>
      <c r="AM25" s="72"/>
      <c r="AN25" s="72"/>
      <c r="AO25" s="72"/>
      <c r="AP25" s="72"/>
      <c r="AQ25" s="72"/>
      <c r="AR25" s="72"/>
      <c r="AS25" s="72"/>
      <c r="AT25" s="72"/>
      <c r="AU25" s="72"/>
      <c r="AV25" s="73"/>
      <c r="AW25" s="116">
        <v>1</v>
      </c>
      <c r="AX25" s="117"/>
      <c r="AY25" s="12" t="s">
        <v>18</v>
      </c>
      <c r="AZ25" s="117">
        <v>1</v>
      </c>
      <c r="BA25" s="126"/>
      <c r="BB25" s="116"/>
      <c r="BC25" s="125"/>
      <c r="BE25" s="46"/>
      <c r="BF25" s="50">
        <f>#N/A</f>
        <v>1</v>
      </c>
      <c r="BG25" s="50" t="s">
        <v>18</v>
      </c>
      <c r="BH25" s="50">
        <f>#N/A</f>
        <v>1</v>
      </c>
      <c r="BI25" s="46"/>
      <c r="BJ25" s="46"/>
      <c r="BK25" s="46"/>
      <c r="BL25" s="46"/>
      <c r="BM25" s="54" t="str">
        <f>$P$18</f>
        <v>Dream Team</v>
      </c>
      <c r="BN25" s="52">
        <f>COUNT($BF$26,$BH$28,$BH$30,$BF$32)</f>
        <v>4</v>
      </c>
      <c r="BO25" s="52">
        <f>SUM($BF$26+$BH$28+$BH$30+$BF$32)</f>
        <v>10</v>
      </c>
      <c r="BP25" s="52">
        <f>SUM($AW$26+$AZ$28+$AZ$30+$AW$32)</f>
        <v>7</v>
      </c>
      <c r="BQ25" s="53" t="s">
        <v>18</v>
      </c>
      <c r="BR25" s="52">
        <f>SUM($AZ$26+$AW$28+$AW$30+$AZ$32)</f>
        <v>3</v>
      </c>
      <c r="BS25" s="52">
        <f>SUM(BP25-BR25)</f>
        <v>4</v>
      </c>
      <c r="BT25" s="46"/>
      <c r="BU25" s="46"/>
      <c r="BV25" s="49"/>
      <c r="BW25" s="49"/>
      <c r="BX25" s="49"/>
      <c r="BY25" s="49"/>
      <c r="BZ25" s="49"/>
      <c r="CA25" s="49"/>
      <c r="CB25" s="49"/>
      <c r="CC25" s="35"/>
      <c r="CD25" s="35"/>
      <c r="CE25" s="35"/>
      <c r="CF25" s="35"/>
      <c r="CG25" s="35"/>
      <c r="CH25" s="35"/>
      <c r="CI25" s="35"/>
      <c r="CJ25" s="35"/>
      <c r="CK25" s="35"/>
      <c r="CL25" s="35"/>
      <c r="CU25" s="35"/>
      <c r="CV25" s="35"/>
      <c r="CW25" s="35"/>
      <c r="CX25" s="35"/>
      <c r="CY25" s="35"/>
      <c r="CZ25" s="35"/>
      <c r="DA25" s="35"/>
      <c r="DB25" s="35"/>
      <c r="DC25" s="35"/>
      <c r="DD25" s="35"/>
      <c r="DE25" s="35"/>
      <c r="DF25" s="35"/>
      <c r="DG25" s="35"/>
      <c r="DH25" s="35"/>
      <c r="DI25" s="35"/>
      <c r="DJ25" s="35"/>
      <c r="DK25" s="35"/>
    </row>
    <row r="26" spans="2:116" s="4" customFormat="1" ht="18" customHeight="1" thickBot="1" x14ac:dyDescent="0.25">
      <c r="B26" s="127">
        <v>2</v>
      </c>
      <c r="C26" s="118"/>
      <c r="D26" s="118">
        <v>1</v>
      </c>
      <c r="E26" s="118"/>
      <c r="F26" s="118"/>
      <c r="G26" s="118"/>
      <c r="H26" s="118"/>
      <c r="I26" s="118"/>
      <c r="J26" s="89">
        <f>#N/A</f>
        <v>0.63541666666666663</v>
      </c>
      <c r="K26" s="89"/>
      <c r="L26" s="89"/>
      <c r="M26" s="89"/>
      <c r="N26" s="90"/>
      <c r="O26" s="91" t="str">
        <f>P18</f>
        <v>Dream Team</v>
      </c>
      <c r="P26" s="92"/>
      <c r="Q26" s="92"/>
      <c r="R26" s="92"/>
      <c r="S26" s="92"/>
      <c r="T26" s="92"/>
      <c r="U26" s="92"/>
      <c r="V26" s="92"/>
      <c r="W26" s="92"/>
      <c r="X26" s="92"/>
      <c r="Y26" s="92"/>
      <c r="Z26" s="92"/>
      <c r="AA26" s="92"/>
      <c r="AB26" s="92"/>
      <c r="AC26" s="92"/>
      <c r="AD26" s="92"/>
      <c r="AE26" s="8" t="s">
        <v>19</v>
      </c>
      <c r="AF26" s="92" t="str">
        <f>P19</f>
        <v>Blasi Hasi</v>
      </c>
      <c r="AG26" s="92"/>
      <c r="AH26" s="92"/>
      <c r="AI26" s="92"/>
      <c r="AJ26" s="92"/>
      <c r="AK26" s="92"/>
      <c r="AL26" s="92"/>
      <c r="AM26" s="92"/>
      <c r="AN26" s="92"/>
      <c r="AO26" s="92"/>
      <c r="AP26" s="92"/>
      <c r="AQ26" s="92"/>
      <c r="AR26" s="92"/>
      <c r="AS26" s="92"/>
      <c r="AT26" s="92"/>
      <c r="AU26" s="92"/>
      <c r="AV26" s="124"/>
      <c r="AW26" s="114">
        <v>2</v>
      </c>
      <c r="AX26" s="122"/>
      <c r="AY26" s="8" t="s">
        <v>18</v>
      </c>
      <c r="AZ26" s="122">
        <v>1</v>
      </c>
      <c r="BA26" s="123"/>
      <c r="BB26" s="114"/>
      <c r="BC26" s="115"/>
      <c r="BD26" s="58"/>
      <c r="BE26" s="46"/>
      <c r="BF26" s="50">
        <f>#N/A</f>
        <v>3</v>
      </c>
      <c r="BG26" s="50" t="s">
        <v>18</v>
      </c>
      <c r="BH26" s="50">
        <f>#N/A</f>
        <v>0</v>
      </c>
      <c r="BI26" s="46"/>
      <c r="BJ26" s="46"/>
      <c r="BK26" s="46"/>
      <c r="BL26" s="46"/>
      <c r="BM26" s="54" t="str">
        <f>$P$17</f>
        <v>Bethli</v>
      </c>
      <c r="BN26" s="52">
        <f>COUNT($BH$25,$BF$28,$BF$31,$BH$34)</f>
        <v>4</v>
      </c>
      <c r="BO26" s="52">
        <f>SUM($BH$25+$BF$28+$BF$31+$BH$34)</f>
        <v>5</v>
      </c>
      <c r="BP26" s="52">
        <f>SUM($AZ$25+$AW$28+$AW$31+$AZ$34)</f>
        <v>8</v>
      </c>
      <c r="BQ26" s="53" t="s">
        <v>18</v>
      </c>
      <c r="BR26" s="52">
        <f>SUM($AW$25+$AZ$28+$AZ$31+$AW$34)</f>
        <v>7</v>
      </c>
      <c r="BS26" s="52">
        <f>SUM(BP26-BR26)</f>
        <v>1</v>
      </c>
      <c r="BT26" s="46"/>
      <c r="BU26" s="46"/>
      <c r="BV26" s="49"/>
      <c r="BW26" s="49"/>
      <c r="BX26" s="49"/>
      <c r="BY26" s="49"/>
      <c r="BZ26" s="49"/>
      <c r="CA26" s="49"/>
      <c r="CB26" s="49"/>
      <c r="CC26" s="34"/>
      <c r="CD26" s="34"/>
      <c r="CE26" s="34"/>
      <c r="CF26" s="34"/>
      <c r="CG26" s="34"/>
      <c r="CH26" s="34"/>
      <c r="CI26" s="34"/>
      <c r="CJ26" s="34"/>
      <c r="CK26" s="34"/>
      <c r="CL26" s="34"/>
      <c r="CM26" s="58"/>
      <c r="CN26" s="58"/>
      <c r="CO26" s="58"/>
      <c r="CP26" s="58"/>
      <c r="CQ26" s="58"/>
      <c r="CR26" s="58"/>
      <c r="CS26" s="58"/>
      <c r="CT26" s="58"/>
      <c r="CU26" s="34"/>
      <c r="CV26" s="34"/>
      <c r="CW26" s="34"/>
      <c r="CX26" s="34"/>
      <c r="CY26" s="34"/>
      <c r="CZ26" s="34"/>
      <c r="DA26" s="34"/>
      <c r="DB26" s="34"/>
      <c r="DC26" s="34"/>
      <c r="DD26" s="34"/>
      <c r="DE26" s="34"/>
      <c r="DF26" s="34"/>
      <c r="DG26" s="34"/>
      <c r="DH26" s="34"/>
      <c r="DI26" s="34"/>
      <c r="DJ26" s="34"/>
      <c r="DK26" s="34"/>
      <c r="DL26" s="58"/>
    </row>
    <row r="27" spans="2:116" s="4" customFormat="1" ht="18" customHeight="1" x14ac:dyDescent="0.2">
      <c r="B27" s="93">
        <v>3</v>
      </c>
      <c r="C27" s="94"/>
      <c r="D27" s="94">
        <v>1</v>
      </c>
      <c r="E27" s="94"/>
      <c r="F27" s="94"/>
      <c r="G27" s="94"/>
      <c r="H27" s="94"/>
      <c r="I27" s="94"/>
      <c r="J27" s="74">
        <f>#N/A</f>
        <v>0.64583333333333326</v>
      </c>
      <c r="K27" s="74"/>
      <c r="L27" s="74"/>
      <c r="M27" s="74"/>
      <c r="N27" s="75"/>
      <c r="O27" s="71" t="str">
        <f>P20</f>
        <v>Mach di vom Acher</v>
      </c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  <c r="AA27" s="72"/>
      <c r="AB27" s="72"/>
      <c r="AC27" s="72"/>
      <c r="AD27" s="72"/>
      <c r="AE27" s="12" t="s">
        <v>19</v>
      </c>
      <c r="AF27" s="72" t="str">
        <f>P16</f>
        <v>Oschwand</v>
      </c>
      <c r="AG27" s="72"/>
      <c r="AH27" s="72"/>
      <c r="AI27" s="72"/>
      <c r="AJ27" s="72"/>
      <c r="AK27" s="72"/>
      <c r="AL27" s="72"/>
      <c r="AM27" s="72"/>
      <c r="AN27" s="72"/>
      <c r="AO27" s="72"/>
      <c r="AP27" s="72"/>
      <c r="AQ27" s="72"/>
      <c r="AR27" s="72"/>
      <c r="AS27" s="72"/>
      <c r="AT27" s="72"/>
      <c r="AU27" s="72"/>
      <c r="AV27" s="73"/>
      <c r="AW27" s="116">
        <v>2</v>
      </c>
      <c r="AX27" s="117"/>
      <c r="AY27" s="12" t="s">
        <v>18</v>
      </c>
      <c r="AZ27" s="117">
        <v>0</v>
      </c>
      <c r="BA27" s="126"/>
      <c r="BB27" s="116"/>
      <c r="BC27" s="125"/>
      <c r="BD27" s="58"/>
      <c r="BE27" s="46"/>
      <c r="BF27" s="50">
        <f>#N/A</f>
        <v>3</v>
      </c>
      <c r="BG27" s="50" t="s">
        <v>18</v>
      </c>
      <c r="BH27" s="50">
        <f>#N/A</f>
        <v>0</v>
      </c>
      <c r="BI27" s="46"/>
      <c r="BJ27" s="46"/>
      <c r="BK27" s="46"/>
      <c r="BL27" s="46"/>
      <c r="BM27" s="54" t="str">
        <f>$P$19</f>
        <v>Blasi Hasi</v>
      </c>
      <c r="BN27" s="52">
        <f>COUNT($BH$26,$BF$29,$BH$31,$BF$33)</f>
        <v>4</v>
      </c>
      <c r="BO27" s="52">
        <f>SUM($BH$26+$BF$29+$BH$31+$BF$33)</f>
        <v>5</v>
      </c>
      <c r="BP27" s="52">
        <f>SUM($AZ$26+$AW$29+$AZ$31+$AW$33)</f>
        <v>7</v>
      </c>
      <c r="BQ27" s="53" t="s">
        <v>18</v>
      </c>
      <c r="BR27" s="52">
        <f>SUM($AW$26+$AZ$29+$AW$31+$AZ$33)</f>
        <v>7</v>
      </c>
      <c r="BS27" s="52">
        <f>SUM(BP27-BR27)</f>
        <v>0</v>
      </c>
      <c r="BT27" s="46"/>
      <c r="BU27" s="46"/>
      <c r="BV27" s="49"/>
      <c r="BW27" s="49"/>
      <c r="BX27" s="49"/>
      <c r="BY27" s="49"/>
      <c r="BZ27" s="49"/>
      <c r="CA27" s="49"/>
      <c r="CB27" s="49"/>
      <c r="CC27" s="34"/>
      <c r="CD27" s="34"/>
      <c r="CE27" s="34"/>
      <c r="CF27" s="34"/>
      <c r="CG27" s="34"/>
      <c r="CH27" s="34"/>
      <c r="CI27" s="34"/>
      <c r="CJ27" s="34"/>
      <c r="CK27" s="34"/>
      <c r="CL27" s="34"/>
      <c r="CM27" s="58"/>
      <c r="CN27" s="58"/>
      <c r="CO27" s="58"/>
      <c r="CP27" s="58"/>
      <c r="CQ27" s="58"/>
      <c r="CR27" s="58"/>
      <c r="CS27" s="58"/>
      <c r="CT27" s="58"/>
      <c r="CU27" s="34"/>
      <c r="CV27" s="34"/>
      <c r="CW27" s="34"/>
      <c r="CX27" s="34"/>
      <c r="CY27" s="34"/>
      <c r="CZ27" s="34"/>
      <c r="DA27" s="34"/>
      <c r="DB27" s="34"/>
      <c r="DC27" s="34"/>
      <c r="DD27" s="34"/>
      <c r="DE27" s="34"/>
      <c r="DF27" s="34"/>
      <c r="DG27" s="34"/>
      <c r="DH27" s="34"/>
      <c r="DI27" s="34"/>
      <c r="DJ27" s="34"/>
      <c r="DK27" s="34"/>
      <c r="DL27" s="58"/>
    </row>
    <row r="28" spans="2:116" s="4" customFormat="1" ht="18" customHeight="1" thickBot="1" x14ac:dyDescent="0.25">
      <c r="B28" s="127">
        <v>4</v>
      </c>
      <c r="C28" s="118"/>
      <c r="D28" s="118">
        <v>1</v>
      </c>
      <c r="E28" s="118"/>
      <c r="F28" s="118"/>
      <c r="G28" s="118"/>
      <c r="H28" s="118"/>
      <c r="I28" s="118"/>
      <c r="J28" s="89">
        <f>#N/A</f>
        <v>0.65624999999999989</v>
      </c>
      <c r="K28" s="89"/>
      <c r="L28" s="89"/>
      <c r="M28" s="89"/>
      <c r="N28" s="90"/>
      <c r="O28" s="91" t="str">
        <f>P17</f>
        <v>Bethli</v>
      </c>
      <c r="P28" s="92"/>
      <c r="Q28" s="92"/>
      <c r="R28" s="92"/>
      <c r="S28" s="92"/>
      <c r="T28" s="92"/>
      <c r="U28" s="92"/>
      <c r="V28" s="92"/>
      <c r="W28" s="92"/>
      <c r="X28" s="92"/>
      <c r="Y28" s="92"/>
      <c r="Z28" s="92"/>
      <c r="AA28" s="92"/>
      <c r="AB28" s="92"/>
      <c r="AC28" s="92"/>
      <c r="AD28" s="92"/>
      <c r="AE28" s="8" t="s">
        <v>19</v>
      </c>
      <c r="AF28" s="92" t="str">
        <f>P18</f>
        <v>Dream Team</v>
      </c>
      <c r="AG28" s="92"/>
      <c r="AH28" s="92"/>
      <c r="AI28" s="92"/>
      <c r="AJ28" s="92"/>
      <c r="AK28" s="92"/>
      <c r="AL28" s="92"/>
      <c r="AM28" s="92"/>
      <c r="AN28" s="92"/>
      <c r="AO28" s="92"/>
      <c r="AP28" s="92"/>
      <c r="AQ28" s="92"/>
      <c r="AR28" s="92"/>
      <c r="AS28" s="92"/>
      <c r="AT28" s="92"/>
      <c r="AU28" s="92"/>
      <c r="AV28" s="124"/>
      <c r="AW28" s="114">
        <v>1</v>
      </c>
      <c r="AX28" s="122"/>
      <c r="AY28" s="8" t="s">
        <v>18</v>
      </c>
      <c r="AZ28" s="122">
        <v>1</v>
      </c>
      <c r="BA28" s="123"/>
      <c r="BB28" s="114"/>
      <c r="BC28" s="115"/>
      <c r="BD28" s="58"/>
      <c r="BE28" s="46"/>
      <c r="BF28" s="50">
        <f>#N/A</f>
        <v>1</v>
      </c>
      <c r="BG28" s="50" t="s">
        <v>18</v>
      </c>
      <c r="BH28" s="50">
        <f>#N/A</f>
        <v>1</v>
      </c>
      <c r="BI28" s="46"/>
      <c r="BJ28" s="46"/>
      <c r="BK28" s="46"/>
      <c r="BL28" s="46"/>
      <c r="BM28" s="54" t="str">
        <f>$P$20</f>
        <v>Mach di vom Acher</v>
      </c>
      <c r="BN28" s="52">
        <f>COUNT($BF$27,$BH$29,$BH$32,$BF$34)</f>
        <v>4</v>
      </c>
      <c r="BO28" s="52">
        <f>SUM($BF$27+$BH$29+$BH$32+$BF$34)</f>
        <v>4</v>
      </c>
      <c r="BP28" s="52">
        <f>SUM($AW$27+$AZ$29+$AZ$32+$AW$34)</f>
        <v>6</v>
      </c>
      <c r="BQ28" s="53" t="s">
        <v>18</v>
      </c>
      <c r="BR28" s="52">
        <f>SUM($AZ$27+$AW$29+$AW$32+$AZ$34)</f>
        <v>8</v>
      </c>
      <c r="BS28" s="52">
        <f>SUM(BP28-BR28)</f>
        <v>-2</v>
      </c>
      <c r="BT28" s="46"/>
      <c r="BU28" s="46"/>
      <c r="BV28" s="49"/>
      <c r="BW28" s="49"/>
      <c r="BX28" s="49"/>
      <c r="BY28" s="49"/>
      <c r="BZ28" s="49"/>
      <c r="CA28" s="49"/>
      <c r="CB28" s="49"/>
      <c r="CC28" s="34"/>
      <c r="CD28" s="34"/>
      <c r="CE28" s="34"/>
      <c r="CF28" s="34"/>
      <c r="CG28" s="34"/>
      <c r="CH28" s="34"/>
      <c r="CI28" s="34"/>
      <c r="CJ28" s="34"/>
      <c r="CK28" s="34"/>
      <c r="CL28" s="34"/>
      <c r="CM28" s="58"/>
      <c r="CN28" s="58"/>
      <c r="CO28" s="58"/>
      <c r="CP28" s="58"/>
      <c r="CQ28" s="58"/>
      <c r="CR28" s="58"/>
      <c r="CS28" s="58"/>
      <c r="CT28" s="58"/>
      <c r="CU28" s="34"/>
      <c r="CV28" s="34"/>
      <c r="CW28" s="34"/>
      <c r="CX28" s="34"/>
      <c r="CY28" s="34"/>
      <c r="CZ28" s="34"/>
      <c r="DA28" s="34"/>
      <c r="DB28" s="34"/>
      <c r="DC28" s="34"/>
      <c r="DD28" s="34"/>
      <c r="DE28" s="34"/>
      <c r="DF28" s="34"/>
      <c r="DG28" s="34"/>
      <c r="DH28" s="34"/>
      <c r="DI28" s="34"/>
      <c r="DJ28" s="34"/>
      <c r="DK28" s="34"/>
      <c r="DL28" s="58"/>
    </row>
    <row r="29" spans="2:116" s="4" customFormat="1" ht="18" customHeight="1" x14ac:dyDescent="0.2">
      <c r="B29" s="93">
        <v>5</v>
      </c>
      <c r="C29" s="94"/>
      <c r="D29" s="94">
        <v>1</v>
      </c>
      <c r="E29" s="94"/>
      <c r="F29" s="94"/>
      <c r="G29" s="94"/>
      <c r="H29" s="94"/>
      <c r="I29" s="94"/>
      <c r="J29" s="74">
        <f>#N/A</f>
        <v>0.66666666666666652</v>
      </c>
      <c r="K29" s="74"/>
      <c r="L29" s="74"/>
      <c r="M29" s="74"/>
      <c r="N29" s="75"/>
      <c r="O29" s="71" t="str">
        <f>P19</f>
        <v>Blasi Hasi</v>
      </c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  <c r="AA29" s="72"/>
      <c r="AB29" s="72"/>
      <c r="AC29" s="72"/>
      <c r="AD29" s="72"/>
      <c r="AE29" s="12" t="s">
        <v>19</v>
      </c>
      <c r="AF29" s="72" t="str">
        <f>P20</f>
        <v>Mach di vom Acher</v>
      </c>
      <c r="AG29" s="72"/>
      <c r="AH29" s="72"/>
      <c r="AI29" s="72"/>
      <c r="AJ29" s="72"/>
      <c r="AK29" s="72"/>
      <c r="AL29" s="72"/>
      <c r="AM29" s="72"/>
      <c r="AN29" s="72"/>
      <c r="AO29" s="72"/>
      <c r="AP29" s="72"/>
      <c r="AQ29" s="72"/>
      <c r="AR29" s="72"/>
      <c r="AS29" s="72"/>
      <c r="AT29" s="72"/>
      <c r="AU29" s="72"/>
      <c r="AV29" s="73"/>
      <c r="AW29" s="116">
        <v>2</v>
      </c>
      <c r="AX29" s="117"/>
      <c r="AY29" s="12" t="s">
        <v>18</v>
      </c>
      <c r="AZ29" s="117">
        <v>2</v>
      </c>
      <c r="BA29" s="126"/>
      <c r="BB29" s="116"/>
      <c r="BC29" s="125"/>
      <c r="BD29" s="58"/>
      <c r="BE29" s="46"/>
      <c r="BF29" s="50">
        <f>#N/A</f>
        <v>1</v>
      </c>
      <c r="BG29" s="50" t="s">
        <v>18</v>
      </c>
      <c r="BH29" s="50">
        <f>#N/A</f>
        <v>1</v>
      </c>
      <c r="BI29" s="46"/>
      <c r="BJ29" s="46"/>
      <c r="BK29" s="46"/>
      <c r="BL29" s="46"/>
      <c r="BM29" s="51" t="str">
        <f>$P$16</f>
        <v>Oschwand</v>
      </c>
      <c r="BN29" s="52">
        <f>COUNT($BF$25,$BH$27,$BF$30,$BH$33)</f>
        <v>4</v>
      </c>
      <c r="BO29" s="52">
        <f>SUM($BF$25+$BH$27+$BF$30+$BH$33)</f>
        <v>2</v>
      </c>
      <c r="BP29" s="52">
        <f>SUM($AW$25+$AZ$27+$AW$30+$AZ$33)</f>
        <v>3</v>
      </c>
      <c r="BQ29" s="53" t="s">
        <v>18</v>
      </c>
      <c r="BR29" s="52">
        <f>SUM($AZ$25+$AW$27+$AZ$30+$AW$33)</f>
        <v>6</v>
      </c>
      <c r="BS29" s="52">
        <f>SUM(BP29-BR29)</f>
        <v>-3</v>
      </c>
      <c r="BT29" s="46"/>
      <c r="BU29" s="46"/>
      <c r="BV29" s="49"/>
      <c r="BW29" s="49"/>
      <c r="BX29" s="49"/>
      <c r="BY29" s="49"/>
      <c r="BZ29" s="49"/>
      <c r="CA29" s="49"/>
      <c r="CB29" s="49"/>
      <c r="CC29" s="34"/>
      <c r="CD29" s="34"/>
      <c r="CE29" s="34"/>
      <c r="CF29" s="34"/>
      <c r="CG29" s="34"/>
      <c r="CH29" s="34"/>
      <c r="CI29" s="34"/>
      <c r="CJ29" s="34"/>
      <c r="CK29" s="34"/>
      <c r="CL29" s="34"/>
      <c r="CM29" s="58"/>
      <c r="CN29" s="58"/>
      <c r="CO29" s="58"/>
      <c r="CP29" s="58"/>
      <c r="CQ29" s="58"/>
      <c r="CR29" s="58"/>
      <c r="CS29" s="58"/>
      <c r="CT29" s="58"/>
      <c r="CU29" s="34"/>
      <c r="CV29" s="34"/>
      <c r="CW29" s="34"/>
      <c r="CX29" s="34"/>
      <c r="CY29" s="34"/>
      <c r="CZ29" s="34"/>
      <c r="DA29" s="34"/>
      <c r="DB29" s="34"/>
      <c r="DC29" s="34"/>
      <c r="DD29" s="34"/>
      <c r="DE29" s="34"/>
      <c r="DF29" s="34"/>
      <c r="DG29" s="34"/>
      <c r="DH29" s="34"/>
      <c r="DI29" s="34"/>
      <c r="DJ29" s="34"/>
      <c r="DK29" s="34"/>
      <c r="DL29" s="58"/>
    </row>
    <row r="30" spans="2:116" s="4" customFormat="1" ht="18" customHeight="1" thickBot="1" x14ac:dyDescent="0.25">
      <c r="B30" s="127">
        <v>6</v>
      </c>
      <c r="C30" s="118"/>
      <c r="D30" s="118">
        <v>1</v>
      </c>
      <c r="E30" s="118"/>
      <c r="F30" s="118"/>
      <c r="G30" s="118"/>
      <c r="H30" s="118"/>
      <c r="I30" s="118"/>
      <c r="J30" s="89">
        <f>#N/A</f>
        <v>0.67708333333333315</v>
      </c>
      <c r="K30" s="89"/>
      <c r="L30" s="89"/>
      <c r="M30" s="89"/>
      <c r="N30" s="90"/>
      <c r="O30" s="91" t="str">
        <f>P16</f>
        <v>Oschwand</v>
      </c>
      <c r="P30" s="92"/>
      <c r="Q30" s="92"/>
      <c r="R30" s="92"/>
      <c r="S30" s="92"/>
      <c r="T30" s="92"/>
      <c r="U30" s="92"/>
      <c r="V30" s="92"/>
      <c r="W30" s="92"/>
      <c r="X30" s="92"/>
      <c r="Y30" s="92"/>
      <c r="Z30" s="92"/>
      <c r="AA30" s="92"/>
      <c r="AB30" s="92"/>
      <c r="AC30" s="92"/>
      <c r="AD30" s="92"/>
      <c r="AE30" s="8" t="s">
        <v>19</v>
      </c>
      <c r="AF30" s="92" t="str">
        <f>P18</f>
        <v>Dream Team</v>
      </c>
      <c r="AG30" s="92"/>
      <c r="AH30" s="92"/>
      <c r="AI30" s="92"/>
      <c r="AJ30" s="92"/>
      <c r="AK30" s="92"/>
      <c r="AL30" s="92"/>
      <c r="AM30" s="92"/>
      <c r="AN30" s="92"/>
      <c r="AO30" s="92"/>
      <c r="AP30" s="92"/>
      <c r="AQ30" s="92"/>
      <c r="AR30" s="92"/>
      <c r="AS30" s="92"/>
      <c r="AT30" s="92"/>
      <c r="AU30" s="92"/>
      <c r="AV30" s="124"/>
      <c r="AW30" s="114">
        <v>1</v>
      </c>
      <c r="AX30" s="122"/>
      <c r="AY30" s="8" t="s">
        <v>18</v>
      </c>
      <c r="AZ30" s="122">
        <v>2</v>
      </c>
      <c r="BA30" s="123"/>
      <c r="BB30" s="114"/>
      <c r="BC30" s="115"/>
      <c r="BD30" s="58"/>
      <c r="BE30" s="46"/>
      <c r="BF30" s="50">
        <f>#N/A</f>
        <v>0</v>
      </c>
      <c r="BG30" s="50" t="s">
        <v>18</v>
      </c>
      <c r="BH30" s="50">
        <f>#N/A</f>
        <v>3</v>
      </c>
      <c r="BI30" s="46"/>
      <c r="BJ30" s="46"/>
      <c r="BK30" s="40"/>
      <c r="BL30" s="40"/>
      <c r="BM30" s="40"/>
      <c r="BN30" s="40"/>
      <c r="BO30" s="40"/>
      <c r="BP30" s="40"/>
      <c r="BQ30" s="40"/>
      <c r="BR30" s="40"/>
      <c r="BS30" s="40"/>
      <c r="BT30" s="46"/>
      <c r="BU30" s="46"/>
      <c r="BV30" s="49"/>
      <c r="BW30" s="49"/>
      <c r="BX30" s="49"/>
      <c r="BY30" s="49"/>
      <c r="BZ30" s="49"/>
      <c r="CA30" s="49"/>
      <c r="CB30" s="49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58"/>
      <c r="CN30" s="58"/>
      <c r="CO30" s="58"/>
      <c r="CP30" s="58"/>
      <c r="CQ30" s="58"/>
      <c r="CR30" s="58"/>
      <c r="CS30" s="58"/>
      <c r="CT30" s="58"/>
      <c r="CU30" s="34"/>
      <c r="CV30" s="34"/>
      <c r="CW30" s="34"/>
      <c r="CX30" s="34"/>
      <c r="CY30" s="34"/>
      <c r="CZ30" s="34"/>
      <c r="DA30" s="34"/>
      <c r="DB30" s="34"/>
      <c r="DC30" s="34"/>
      <c r="DD30" s="34"/>
      <c r="DE30" s="34"/>
      <c r="DF30" s="34"/>
      <c r="DG30" s="34"/>
      <c r="DH30" s="34"/>
      <c r="DI30" s="34"/>
      <c r="DJ30" s="34"/>
      <c r="DK30" s="34"/>
      <c r="DL30" s="58"/>
    </row>
    <row r="31" spans="2:116" s="4" customFormat="1" ht="18" customHeight="1" x14ac:dyDescent="0.2">
      <c r="B31" s="93">
        <v>7</v>
      </c>
      <c r="C31" s="94"/>
      <c r="D31" s="94">
        <v>1</v>
      </c>
      <c r="E31" s="94"/>
      <c r="F31" s="94"/>
      <c r="G31" s="94"/>
      <c r="H31" s="94"/>
      <c r="I31" s="94"/>
      <c r="J31" s="74">
        <f>#N/A</f>
        <v>0.68749999999999978</v>
      </c>
      <c r="K31" s="74"/>
      <c r="L31" s="74"/>
      <c r="M31" s="74"/>
      <c r="N31" s="75"/>
      <c r="O31" s="71" t="str">
        <f>P17</f>
        <v>Bethli</v>
      </c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  <c r="AA31" s="72"/>
      <c r="AB31" s="72"/>
      <c r="AC31" s="72"/>
      <c r="AD31" s="72"/>
      <c r="AE31" s="12" t="s">
        <v>19</v>
      </c>
      <c r="AF31" s="72" t="str">
        <f>P19</f>
        <v>Blasi Hasi</v>
      </c>
      <c r="AG31" s="72"/>
      <c r="AH31" s="72"/>
      <c r="AI31" s="72"/>
      <c r="AJ31" s="72"/>
      <c r="AK31" s="72"/>
      <c r="AL31" s="72"/>
      <c r="AM31" s="72"/>
      <c r="AN31" s="72"/>
      <c r="AO31" s="72"/>
      <c r="AP31" s="72"/>
      <c r="AQ31" s="72"/>
      <c r="AR31" s="72"/>
      <c r="AS31" s="72"/>
      <c r="AT31" s="72"/>
      <c r="AU31" s="72"/>
      <c r="AV31" s="73"/>
      <c r="AW31" s="116">
        <v>2</v>
      </c>
      <c r="AX31" s="117"/>
      <c r="AY31" s="12" t="s">
        <v>18</v>
      </c>
      <c r="AZ31" s="117">
        <v>3</v>
      </c>
      <c r="BA31" s="126"/>
      <c r="BB31" s="116"/>
      <c r="BC31" s="125"/>
      <c r="BD31" s="13"/>
      <c r="BE31" s="46"/>
      <c r="BF31" s="50">
        <f>#N/A</f>
        <v>0</v>
      </c>
      <c r="BG31" s="50" t="s">
        <v>18</v>
      </c>
      <c r="BH31" s="50">
        <f>#N/A</f>
        <v>3</v>
      </c>
      <c r="BI31" s="46"/>
      <c r="BJ31" s="46"/>
      <c r="BK31" s="55"/>
      <c r="BL31" s="55"/>
      <c r="BM31" s="34"/>
      <c r="BN31" s="34"/>
      <c r="BO31" s="34"/>
      <c r="BP31" s="34"/>
      <c r="BQ31" s="34"/>
      <c r="BR31" s="34"/>
      <c r="BS31" s="52"/>
      <c r="BT31" s="46"/>
      <c r="BU31" s="46"/>
      <c r="BV31" s="49"/>
      <c r="BW31" s="49"/>
      <c r="BX31" s="49"/>
      <c r="BY31" s="49"/>
      <c r="BZ31" s="49"/>
      <c r="CA31" s="49"/>
      <c r="CB31" s="49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58"/>
      <c r="CN31" s="58"/>
      <c r="CO31" s="58"/>
      <c r="CP31" s="58"/>
      <c r="CQ31" s="58"/>
      <c r="CR31" s="58"/>
      <c r="CS31" s="58"/>
      <c r="CT31" s="58"/>
      <c r="CU31" s="34"/>
      <c r="CV31" s="34"/>
      <c r="CW31" s="34"/>
      <c r="CX31" s="34"/>
      <c r="CY31" s="34"/>
      <c r="CZ31" s="34"/>
      <c r="DA31" s="34"/>
      <c r="DB31" s="34"/>
      <c r="DC31" s="34"/>
      <c r="DD31" s="34"/>
      <c r="DE31" s="34"/>
      <c r="DF31" s="34"/>
      <c r="DG31" s="34"/>
      <c r="DH31" s="34"/>
      <c r="DI31" s="34"/>
      <c r="DJ31" s="34"/>
      <c r="DK31" s="34"/>
      <c r="DL31" s="58"/>
    </row>
    <row r="32" spans="2:116" s="4" customFormat="1" ht="18" customHeight="1" thickBot="1" x14ac:dyDescent="0.25">
      <c r="B32" s="127">
        <v>8</v>
      </c>
      <c r="C32" s="118"/>
      <c r="D32" s="118">
        <v>1</v>
      </c>
      <c r="E32" s="118"/>
      <c r="F32" s="118"/>
      <c r="G32" s="118"/>
      <c r="H32" s="118"/>
      <c r="I32" s="118"/>
      <c r="J32" s="89">
        <f>#N/A</f>
        <v>0.69791666666666641</v>
      </c>
      <c r="K32" s="89"/>
      <c r="L32" s="89"/>
      <c r="M32" s="89"/>
      <c r="N32" s="90"/>
      <c r="O32" s="91" t="str">
        <f>P18</f>
        <v>Dream Team</v>
      </c>
      <c r="P32" s="92"/>
      <c r="Q32" s="92"/>
      <c r="R32" s="92"/>
      <c r="S32" s="92"/>
      <c r="T32" s="92"/>
      <c r="U32" s="92"/>
      <c r="V32" s="92"/>
      <c r="W32" s="92"/>
      <c r="X32" s="92"/>
      <c r="Y32" s="92"/>
      <c r="Z32" s="92"/>
      <c r="AA32" s="92"/>
      <c r="AB32" s="92"/>
      <c r="AC32" s="92"/>
      <c r="AD32" s="92"/>
      <c r="AE32" s="8" t="s">
        <v>19</v>
      </c>
      <c r="AF32" s="92" t="str">
        <f>P20</f>
        <v>Mach di vom Acher</v>
      </c>
      <c r="AG32" s="92"/>
      <c r="AH32" s="92"/>
      <c r="AI32" s="92"/>
      <c r="AJ32" s="92"/>
      <c r="AK32" s="92"/>
      <c r="AL32" s="92"/>
      <c r="AM32" s="92"/>
      <c r="AN32" s="92"/>
      <c r="AO32" s="92"/>
      <c r="AP32" s="92"/>
      <c r="AQ32" s="92"/>
      <c r="AR32" s="92"/>
      <c r="AS32" s="92"/>
      <c r="AT32" s="92"/>
      <c r="AU32" s="92"/>
      <c r="AV32" s="124"/>
      <c r="AW32" s="114">
        <v>2</v>
      </c>
      <c r="AX32" s="122"/>
      <c r="AY32" s="8" t="s">
        <v>18</v>
      </c>
      <c r="AZ32" s="122">
        <v>0</v>
      </c>
      <c r="BA32" s="123"/>
      <c r="BB32" s="114"/>
      <c r="BC32" s="115"/>
      <c r="BD32" s="13"/>
      <c r="BE32" s="46"/>
      <c r="BF32" s="50">
        <f>#N/A</f>
        <v>3</v>
      </c>
      <c r="BG32" s="50" t="s">
        <v>18</v>
      </c>
      <c r="BH32" s="50">
        <f>#N/A</f>
        <v>0</v>
      </c>
      <c r="BI32" s="46"/>
      <c r="BJ32" s="46"/>
      <c r="BK32" s="55"/>
      <c r="BL32" s="55"/>
      <c r="BM32" s="34"/>
      <c r="BN32" s="34"/>
      <c r="BO32" s="34"/>
      <c r="BP32" s="34"/>
      <c r="BQ32" s="34"/>
      <c r="BR32" s="34"/>
      <c r="BS32" s="52"/>
      <c r="BT32" s="46"/>
      <c r="BU32" s="46"/>
      <c r="BV32" s="49"/>
      <c r="BW32" s="49"/>
      <c r="BX32" s="49"/>
      <c r="BY32" s="49"/>
      <c r="BZ32" s="49"/>
      <c r="CA32" s="49"/>
      <c r="CB32" s="49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58"/>
      <c r="CN32" s="58"/>
      <c r="CO32" s="58"/>
      <c r="CP32" s="58"/>
      <c r="CQ32" s="58"/>
      <c r="CR32" s="58"/>
      <c r="CS32" s="58"/>
      <c r="CT32" s="58"/>
      <c r="CU32" s="34"/>
      <c r="CV32" s="34"/>
      <c r="CW32" s="34"/>
      <c r="CX32" s="34"/>
      <c r="CY32" s="34"/>
      <c r="CZ32" s="34"/>
      <c r="DA32" s="34"/>
      <c r="DB32" s="34"/>
      <c r="DC32" s="34"/>
      <c r="DD32" s="34"/>
      <c r="DE32" s="34"/>
      <c r="DF32" s="34"/>
      <c r="DG32" s="34"/>
      <c r="DH32" s="34"/>
      <c r="DI32" s="34"/>
      <c r="DJ32" s="34"/>
      <c r="DK32" s="34"/>
      <c r="DL32" s="58"/>
    </row>
    <row r="33" spans="2:116" s="4" customFormat="1" ht="18" customHeight="1" x14ac:dyDescent="0.2">
      <c r="B33" s="93">
        <v>9</v>
      </c>
      <c r="C33" s="94"/>
      <c r="D33" s="94">
        <v>1</v>
      </c>
      <c r="E33" s="94"/>
      <c r="F33" s="94"/>
      <c r="G33" s="94"/>
      <c r="H33" s="94"/>
      <c r="I33" s="94"/>
      <c r="J33" s="74">
        <f>#N/A</f>
        <v>0.70833333333333304</v>
      </c>
      <c r="K33" s="74"/>
      <c r="L33" s="74"/>
      <c r="M33" s="74"/>
      <c r="N33" s="75"/>
      <c r="O33" s="71" t="str">
        <f>P19</f>
        <v>Blasi Hasi</v>
      </c>
      <c r="P33" s="72"/>
      <c r="Q33" s="72"/>
      <c r="R33" s="72"/>
      <c r="S33" s="72"/>
      <c r="T33" s="72"/>
      <c r="U33" s="72"/>
      <c r="V33" s="72"/>
      <c r="W33" s="72"/>
      <c r="X33" s="72"/>
      <c r="Y33" s="72"/>
      <c r="Z33" s="72"/>
      <c r="AA33" s="72"/>
      <c r="AB33" s="72"/>
      <c r="AC33" s="72"/>
      <c r="AD33" s="72"/>
      <c r="AE33" s="12" t="s">
        <v>19</v>
      </c>
      <c r="AF33" s="72" t="str">
        <f>P16</f>
        <v>Oschwand</v>
      </c>
      <c r="AG33" s="72"/>
      <c r="AH33" s="72"/>
      <c r="AI33" s="72"/>
      <c r="AJ33" s="72"/>
      <c r="AK33" s="72"/>
      <c r="AL33" s="72"/>
      <c r="AM33" s="72"/>
      <c r="AN33" s="72"/>
      <c r="AO33" s="72"/>
      <c r="AP33" s="72"/>
      <c r="AQ33" s="72"/>
      <c r="AR33" s="72"/>
      <c r="AS33" s="72"/>
      <c r="AT33" s="72"/>
      <c r="AU33" s="72"/>
      <c r="AV33" s="73"/>
      <c r="AW33" s="116">
        <v>1</v>
      </c>
      <c r="AX33" s="117"/>
      <c r="AY33" s="12" t="s">
        <v>18</v>
      </c>
      <c r="AZ33" s="117">
        <v>1</v>
      </c>
      <c r="BA33" s="126"/>
      <c r="BB33" s="116"/>
      <c r="BC33" s="125"/>
      <c r="BD33" s="13"/>
      <c r="BE33" s="46"/>
      <c r="BF33" s="50">
        <f>#N/A</f>
        <v>1</v>
      </c>
      <c r="BG33" s="50" t="s">
        <v>18</v>
      </c>
      <c r="BH33" s="50">
        <f>#N/A</f>
        <v>1</v>
      </c>
      <c r="BI33" s="46"/>
      <c r="BJ33" s="46"/>
      <c r="BK33" s="55"/>
      <c r="BL33" s="55"/>
      <c r="BM33" s="34"/>
      <c r="BN33" s="34"/>
      <c r="BO33" s="34"/>
      <c r="BP33" s="34"/>
      <c r="BQ33" s="34"/>
      <c r="BR33" s="34"/>
      <c r="BS33" s="52"/>
      <c r="BT33" s="46"/>
      <c r="BU33" s="46"/>
      <c r="BV33" s="49"/>
      <c r="BW33" s="49"/>
      <c r="BX33" s="49"/>
      <c r="BY33" s="49"/>
      <c r="BZ33" s="49"/>
      <c r="CA33" s="49"/>
      <c r="CB33" s="49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58"/>
      <c r="CN33" s="58"/>
      <c r="CO33" s="58"/>
      <c r="CP33" s="58"/>
      <c r="CQ33" s="58"/>
      <c r="CR33" s="58"/>
      <c r="CS33" s="58"/>
      <c r="CT33" s="58"/>
      <c r="CU33" s="34"/>
      <c r="CV33" s="34"/>
      <c r="CW33" s="34"/>
      <c r="CX33" s="34"/>
      <c r="CY33" s="34"/>
      <c r="CZ33" s="34"/>
      <c r="DA33" s="34"/>
      <c r="DB33" s="34"/>
      <c r="DC33" s="34"/>
      <c r="DD33" s="34"/>
      <c r="DE33" s="34"/>
      <c r="DF33" s="34"/>
      <c r="DG33" s="34"/>
      <c r="DH33" s="34"/>
      <c r="DI33" s="34"/>
      <c r="DJ33" s="34"/>
      <c r="DK33" s="34"/>
      <c r="DL33" s="58"/>
    </row>
    <row r="34" spans="2:116" s="4" customFormat="1" ht="18" customHeight="1" thickBot="1" x14ac:dyDescent="0.25">
      <c r="B34" s="127">
        <v>10</v>
      </c>
      <c r="C34" s="118"/>
      <c r="D34" s="118">
        <v>1</v>
      </c>
      <c r="E34" s="118"/>
      <c r="F34" s="118"/>
      <c r="G34" s="118"/>
      <c r="H34" s="118"/>
      <c r="I34" s="118"/>
      <c r="J34" s="89">
        <f>#N/A</f>
        <v>0.71874999999999967</v>
      </c>
      <c r="K34" s="89"/>
      <c r="L34" s="89"/>
      <c r="M34" s="89"/>
      <c r="N34" s="90"/>
      <c r="O34" s="91" t="str">
        <f>P20</f>
        <v>Mach di vom Acher</v>
      </c>
      <c r="P34" s="92"/>
      <c r="Q34" s="92"/>
      <c r="R34" s="92"/>
      <c r="S34" s="92"/>
      <c r="T34" s="92"/>
      <c r="U34" s="92"/>
      <c r="V34" s="92"/>
      <c r="W34" s="92"/>
      <c r="X34" s="92"/>
      <c r="Y34" s="92"/>
      <c r="Z34" s="92"/>
      <c r="AA34" s="92"/>
      <c r="AB34" s="92"/>
      <c r="AC34" s="92"/>
      <c r="AD34" s="92"/>
      <c r="AE34" s="8" t="s">
        <v>19</v>
      </c>
      <c r="AF34" s="92" t="str">
        <f>P17</f>
        <v>Bethli</v>
      </c>
      <c r="AG34" s="92"/>
      <c r="AH34" s="92"/>
      <c r="AI34" s="92"/>
      <c r="AJ34" s="92"/>
      <c r="AK34" s="92"/>
      <c r="AL34" s="92"/>
      <c r="AM34" s="92"/>
      <c r="AN34" s="92"/>
      <c r="AO34" s="92"/>
      <c r="AP34" s="92"/>
      <c r="AQ34" s="92"/>
      <c r="AR34" s="92"/>
      <c r="AS34" s="92"/>
      <c r="AT34" s="92"/>
      <c r="AU34" s="92"/>
      <c r="AV34" s="124"/>
      <c r="AW34" s="114">
        <v>2</v>
      </c>
      <c r="AX34" s="122"/>
      <c r="AY34" s="8" t="s">
        <v>18</v>
      </c>
      <c r="AZ34" s="122">
        <v>4</v>
      </c>
      <c r="BA34" s="123"/>
      <c r="BB34" s="114"/>
      <c r="BC34" s="115"/>
      <c r="BD34" s="13"/>
      <c r="BE34" s="46"/>
      <c r="BF34" s="50">
        <f>#N/A</f>
        <v>0</v>
      </c>
      <c r="BG34" s="50" t="s">
        <v>18</v>
      </c>
      <c r="BH34" s="50">
        <f>#N/A</f>
        <v>3</v>
      </c>
      <c r="BI34" s="46"/>
      <c r="BJ34" s="46"/>
      <c r="BK34" s="55"/>
      <c r="BL34" s="55"/>
      <c r="BM34" s="34"/>
      <c r="BN34" s="34"/>
      <c r="BO34" s="34"/>
      <c r="BP34" s="34"/>
      <c r="BQ34" s="34"/>
      <c r="BR34" s="34"/>
      <c r="BS34" s="52"/>
      <c r="BT34" s="46"/>
      <c r="BU34" s="46"/>
      <c r="BV34" s="49"/>
      <c r="BW34" s="49"/>
      <c r="BX34" s="49"/>
      <c r="BY34" s="49"/>
      <c r="BZ34" s="49"/>
      <c r="CA34" s="49"/>
      <c r="CB34" s="49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58"/>
      <c r="CN34" s="58"/>
      <c r="CO34" s="58"/>
      <c r="CP34" s="58"/>
      <c r="CQ34" s="58"/>
      <c r="CR34" s="58"/>
      <c r="CS34" s="58"/>
      <c r="CT34" s="58"/>
      <c r="CU34" s="34"/>
      <c r="CV34" s="34"/>
      <c r="CW34" s="34"/>
      <c r="CX34" s="34"/>
      <c r="CY34" s="34"/>
      <c r="CZ34" s="34"/>
      <c r="DA34" s="34"/>
      <c r="DB34" s="34"/>
      <c r="DC34" s="34"/>
      <c r="DD34" s="34"/>
      <c r="DE34" s="34"/>
      <c r="DF34" s="34"/>
      <c r="DG34" s="34"/>
      <c r="DH34" s="34"/>
      <c r="DI34" s="34"/>
      <c r="DJ34" s="34"/>
      <c r="DK34" s="34"/>
      <c r="DL34" s="58"/>
    </row>
    <row r="36" spans="2:116" x14ac:dyDescent="0.2">
      <c r="B36" s="1" t="s">
        <v>29</v>
      </c>
    </row>
    <row r="37" spans="2:116" ht="6" customHeight="1" x14ac:dyDescent="0.2"/>
    <row r="38" spans="2:116" s="9" customFormat="1" ht="13.5" customHeight="1" thickBot="1" x14ac:dyDescent="0.25">
      <c r="AA38" s="10"/>
      <c r="AB38" s="10"/>
      <c r="AC38" s="10"/>
      <c r="AD38" s="10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E38" s="56"/>
      <c r="BF38" s="56"/>
      <c r="BG38" s="56"/>
      <c r="BH38" s="56"/>
      <c r="BI38" s="56"/>
      <c r="BJ38" s="56"/>
      <c r="BK38" s="56"/>
      <c r="BL38" s="56"/>
      <c r="BM38" s="56"/>
      <c r="BN38" s="56"/>
      <c r="BO38" s="56"/>
      <c r="BP38" s="56"/>
      <c r="BQ38" s="56"/>
      <c r="BR38" s="56"/>
      <c r="BS38" s="56"/>
      <c r="BT38" s="56"/>
      <c r="BU38" s="56"/>
      <c r="BV38" s="57"/>
      <c r="BW38" s="57"/>
      <c r="BX38" s="57"/>
      <c r="BY38" s="57"/>
      <c r="BZ38" s="57"/>
      <c r="CA38" s="57"/>
      <c r="CB38" s="57"/>
      <c r="CC38" s="36"/>
      <c r="CD38" s="36"/>
      <c r="CE38" s="36"/>
      <c r="CF38" s="36"/>
      <c r="CG38" s="36"/>
      <c r="CH38" s="36"/>
      <c r="CI38" s="36"/>
      <c r="CJ38" s="36"/>
      <c r="CK38" s="36"/>
      <c r="CL38" s="36"/>
      <c r="CU38" s="36"/>
      <c r="CV38" s="36"/>
      <c r="CW38" s="36"/>
      <c r="CX38" s="36"/>
      <c r="CY38" s="36"/>
      <c r="CZ38" s="36"/>
      <c r="DA38" s="36"/>
      <c r="DB38" s="36"/>
      <c r="DC38" s="36"/>
      <c r="DD38" s="36"/>
      <c r="DE38" s="36"/>
      <c r="DF38" s="36"/>
      <c r="DG38" s="36"/>
      <c r="DH38" s="36"/>
      <c r="DI38" s="36"/>
      <c r="DJ38" s="36"/>
      <c r="DK38" s="36"/>
    </row>
    <row r="39" spans="2:116" ht="13.5" thickBot="1" x14ac:dyDescent="0.25">
      <c r="I39" s="120" t="s">
        <v>31</v>
      </c>
      <c r="J39" s="121"/>
      <c r="K39" s="121"/>
      <c r="L39" s="121"/>
      <c r="M39" s="121"/>
      <c r="N39" s="121"/>
      <c r="O39" s="121"/>
      <c r="P39" s="121"/>
      <c r="Q39" s="121"/>
      <c r="R39" s="121"/>
      <c r="S39" s="121"/>
      <c r="T39" s="121"/>
      <c r="U39" s="121"/>
      <c r="V39" s="121"/>
      <c r="W39" s="121"/>
      <c r="X39" s="121"/>
      <c r="Y39" s="121"/>
      <c r="Z39" s="121"/>
      <c r="AA39" s="121"/>
      <c r="AB39" s="121"/>
      <c r="AC39" s="121"/>
      <c r="AD39" s="121"/>
      <c r="AE39" s="121"/>
      <c r="AF39" s="121"/>
      <c r="AG39" s="121"/>
      <c r="AH39" s="97" t="s">
        <v>28</v>
      </c>
      <c r="AI39" s="98"/>
      <c r="AJ39" s="98"/>
      <c r="AK39" s="97" t="s">
        <v>21</v>
      </c>
      <c r="AL39" s="98"/>
      <c r="AM39" s="98"/>
      <c r="AN39" s="97" t="s">
        <v>22</v>
      </c>
      <c r="AO39" s="98"/>
      <c r="AP39" s="98"/>
      <c r="AQ39" s="98"/>
      <c r="AR39" s="98"/>
      <c r="AS39" s="97" t="s">
        <v>23</v>
      </c>
      <c r="AT39" s="98"/>
      <c r="AU39" s="119"/>
    </row>
    <row r="40" spans="2:116" ht="20.100000000000001" customHeight="1" thickBot="1" x14ac:dyDescent="0.25">
      <c r="I40" s="105" t="s">
        <v>10</v>
      </c>
      <c r="J40" s="100"/>
      <c r="K40" s="110" t="str">
        <f>BM25</f>
        <v>Dream Team</v>
      </c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F40" s="110"/>
      <c r="AG40" s="110"/>
      <c r="AH40" s="101">
        <f>BN25</f>
        <v>4</v>
      </c>
      <c r="AI40" s="100"/>
      <c r="AJ40" s="102"/>
      <c r="AK40" s="100">
        <f>BO25</f>
        <v>10</v>
      </c>
      <c r="AL40" s="100"/>
      <c r="AM40" s="100"/>
      <c r="AN40" s="101">
        <f>BP25</f>
        <v>7</v>
      </c>
      <c r="AO40" s="100"/>
      <c r="AP40" s="39" t="s">
        <v>18</v>
      </c>
      <c r="AQ40" s="100">
        <f>BR25</f>
        <v>3</v>
      </c>
      <c r="AR40" s="102"/>
      <c r="AS40" s="103">
        <f>BS25</f>
        <v>4</v>
      </c>
      <c r="AT40" s="103"/>
      <c r="AU40" s="104"/>
    </row>
    <row r="41" spans="2:116" ht="20.100000000000001" customHeight="1" thickBot="1" x14ac:dyDescent="0.25">
      <c r="I41" s="105" t="s">
        <v>11</v>
      </c>
      <c r="J41" s="100"/>
      <c r="K41" s="110" t="str">
        <f>BM26</f>
        <v>Bethli</v>
      </c>
      <c r="L41" s="110"/>
      <c r="M41" s="110"/>
      <c r="N41" s="110"/>
      <c r="O41" s="110"/>
      <c r="P41" s="110"/>
      <c r="Q41" s="110"/>
      <c r="R41" s="110"/>
      <c r="S41" s="110"/>
      <c r="T41" s="110"/>
      <c r="U41" s="110"/>
      <c r="V41" s="110"/>
      <c r="W41" s="110"/>
      <c r="X41" s="110"/>
      <c r="Y41" s="110"/>
      <c r="Z41" s="110"/>
      <c r="AA41" s="110"/>
      <c r="AB41" s="110"/>
      <c r="AC41" s="110"/>
      <c r="AD41" s="110"/>
      <c r="AE41" s="110"/>
      <c r="AF41" s="110"/>
      <c r="AG41" s="110"/>
      <c r="AH41" s="101">
        <f>BN26</f>
        <v>4</v>
      </c>
      <c r="AI41" s="100"/>
      <c r="AJ41" s="102"/>
      <c r="AK41" s="100">
        <f>BO26</f>
        <v>5</v>
      </c>
      <c r="AL41" s="100"/>
      <c r="AM41" s="100"/>
      <c r="AN41" s="101">
        <f>BP26</f>
        <v>8</v>
      </c>
      <c r="AO41" s="100"/>
      <c r="AP41" s="39" t="s">
        <v>18</v>
      </c>
      <c r="AQ41" s="100">
        <f>BR26</f>
        <v>7</v>
      </c>
      <c r="AR41" s="102"/>
      <c r="AS41" s="103">
        <f>BS26</f>
        <v>1</v>
      </c>
      <c r="AT41" s="103"/>
      <c r="AU41" s="104"/>
    </row>
    <row r="42" spans="2:116" ht="20.100000000000001" customHeight="1" thickBot="1" x14ac:dyDescent="0.25">
      <c r="I42" s="105" t="s">
        <v>12</v>
      </c>
      <c r="J42" s="100"/>
      <c r="K42" s="110" t="str">
        <f>BM27</f>
        <v>Blasi Hasi</v>
      </c>
      <c r="L42" s="110"/>
      <c r="M42" s="110"/>
      <c r="N42" s="110"/>
      <c r="O42" s="110"/>
      <c r="P42" s="110"/>
      <c r="Q42" s="110"/>
      <c r="R42" s="110"/>
      <c r="S42" s="110"/>
      <c r="T42" s="110"/>
      <c r="U42" s="110"/>
      <c r="V42" s="110"/>
      <c r="W42" s="110"/>
      <c r="X42" s="110"/>
      <c r="Y42" s="110"/>
      <c r="Z42" s="110"/>
      <c r="AA42" s="110"/>
      <c r="AB42" s="110"/>
      <c r="AC42" s="110"/>
      <c r="AD42" s="110"/>
      <c r="AE42" s="110"/>
      <c r="AF42" s="110"/>
      <c r="AG42" s="110"/>
      <c r="AH42" s="101">
        <f>BN27</f>
        <v>4</v>
      </c>
      <c r="AI42" s="100"/>
      <c r="AJ42" s="102"/>
      <c r="AK42" s="100">
        <f>BO27</f>
        <v>5</v>
      </c>
      <c r="AL42" s="100"/>
      <c r="AM42" s="100"/>
      <c r="AN42" s="101">
        <f>BP27</f>
        <v>7</v>
      </c>
      <c r="AO42" s="100"/>
      <c r="AP42" s="39" t="s">
        <v>18</v>
      </c>
      <c r="AQ42" s="100">
        <f>BR27</f>
        <v>7</v>
      </c>
      <c r="AR42" s="102"/>
      <c r="AS42" s="103">
        <f>BS27</f>
        <v>0</v>
      </c>
      <c r="AT42" s="103"/>
      <c r="AU42" s="104"/>
    </row>
    <row r="43" spans="2:116" ht="20.100000000000001" customHeight="1" thickBot="1" x14ac:dyDescent="0.25">
      <c r="I43" s="113" t="s">
        <v>13</v>
      </c>
      <c r="J43" s="108"/>
      <c r="K43" s="106" t="str">
        <f>BM28</f>
        <v>Mach di vom Acher</v>
      </c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7">
        <f>BN28</f>
        <v>4</v>
      </c>
      <c r="AI43" s="108"/>
      <c r="AJ43" s="109"/>
      <c r="AK43" s="108">
        <f>BO28</f>
        <v>4</v>
      </c>
      <c r="AL43" s="108"/>
      <c r="AM43" s="108"/>
      <c r="AN43" s="107">
        <f>BP28</f>
        <v>6</v>
      </c>
      <c r="AO43" s="108"/>
      <c r="AP43" s="38" t="s">
        <v>18</v>
      </c>
      <c r="AQ43" s="108">
        <f>BR28</f>
        <v>8</v>
      </c>
      <c r="AR43" s="109"/>
      <c r="AS43" s="111">
        <f>BS28</f>
        <v>-2</v>
      </c>
      <c r="AT43" s="111"/>
      <c r="AU43" s="112"/>
    </row>
    <row r="44" spans="2:116" ht="20.100000000000001" customHeight="1" thickBot="1" x14ac:dyDescent="0.25">
      <c r="I44" s="105" t="s">
        <v>14</v>
      </c>
      <c r="J44" s="100"/>
      <c r="K44" s="110" t="str">
        <f>BM29</f>
        <v>Oschwand</v>
      </c>
      <c r="L44" s="110"/>
      <c r="M44" s="110"/>
      <c r="N44" s="110"/>
      <c r="O44" s="110"/>
      <c r="P44" s="110"/>
      <c r="Q44" s="110"/>
      <c r="R44" s="110"/>
      <c r="S44" s="110"/>
      <c r="T44" s="110"/>
      <c r="U44" s="110"/>
      <c r="V44" s="110"/>
      <c r="W44" s="110"/>
      <c r="X44" s="110"/>
      <c r="Y44" s="110"/>
      <c r="Z44" s="110"/>
      <c r="AA44" s="110"/>
      <c r="AB44" s="110"/>
      <c r="AC44" s="110"/>
      <c r="AD44" s="110"/>
      <c r="AE44" s="110"/>
      <c r="AF44" s="110"/>
      <c r="AG44" s="110"/>
      <c r="AH44" s="101">
        <f>BN29</f>
        <v>4</v>
      </c>
      <c r="AI44" s="100"/>
      <c r="AJ44" s="102"/>
      <c r="AK44" s="100">
        <f>BO29</f>
        <v>2</v>
      </c>
      <c r="AL44" s="100"/>
      <c r="AM44" s="100"/>
      <c r="AN44" s="101">
        <f>BP29</f>
        <v>3</v>
      </c>
      <c r="AO44" s="100"/>
      <c r="AP44" s="39" t="s">
        <v>18</v>
      </c>
      <c r="AQ44" s="100">
        <f>BR29</f>
        <v>6</v>
      </c>
      <c r="AR44" s="102"/>
      <c r="AS44" s="103">
        <f>BS29</f>
        <v>-3</v>
      </c>
      <c r="AT44" s="103"/>
      <c r="AU44" s="104"/>
    </row>
  </sheetData>
  <mergeCells count="164">
    <mergeCell ref="X10:AB10"/>
    <mergeCell ref="H10:L10"/>
    <mergeCell ref="AK18:AL18"/>
    <mergeCell ref="AK19:AL19"/>
    <mergeCell ref="AK16:AL16"/>
    <mergeCell ref="AK17:AL17"/>
    <mergeCell ref="O25:AD25"/>
    <mergeCell ref="AF25:AV25"/>
    <mergeCell ref="BB25:BC25"/>
    <mergeCell ref="AW25:AX25"/>
    <mergeCell ref="AZ25:BA25"/>
    <mergeCell ref="N20:O20"/>
    <mergeCell ref="P16:AJ16"/>
    <mergeCell ref="P17:AJ17"/>
    <mergeCell ref="P18:AJ18"/>
    <mergeCell ref="P19:AJ19"/>
    <mergeCell ref="P20:AJ20"/>
    <mergeCell ref="N16:O16"/>
    <mergeCell ref="N17:O17"/>
    <mergeCell ref="N18:O18"/>
    <mergeCell ref="N19:O19"/>
    <mergeCell ref="AK20:AL20"/>
    <mergeCell ref="BB24:BC24"/>
    <mergeCell ref="AW24:BA24"/>
    <mergeCell ref="BB26:BC26"/>
    <mergeCell ref="B26:C26"/>
    <mergeCell ref="O26:AD26"/>
    <mergeCell ref="AF26:AV26"/>
    <mergeCell ref="J26:N26"/>
    <mergeCell ref="D26:F26"/>
    <mergeCell ref="G26:I26"/>
    <mergeCell ref="B25:C25"/>
    <mergeCell ref="D25:F25"/>
    <mergeCell ref="G25:I25"/>
    <mergeCell ref="J25:N25"/>
    <mergeCell ref="D24:F24"/>
    <mergeCell ref="G24:I24"/>
    <mergeCell ref="O24:AV24"/>
    <mergeCell ref="B31:C31"/>
    <mergeCell ref="B32:C32"/>
    <mergeCell ref="AZ26:BA26"/>
    <mergeCell ref="AW29:AX29"/>
    <mergeCell ref="AZ29:BA29"/>
    <mergeCell ref="O27:AD27"/>
    <mergeCell ref="AF27:AV27"/>
    <mergeCell ref="AW27:AX27"/>
    <mergeCell ref="AZ27:BA27"/>
    <mergeCell ref="J28:N28"/>
    <mergeCell ref="O28:AD28"/>
    <mergeCell ref="J27:N27"/>
    <mergeCell ref="G30:I30"/>
    <mergeCell ref="AW26:AX26"/>
    <mergeCell ref="B34:C34"/>
    <mergeCell ref="B27:C27"/>
    <mergeCell ref="B28:C28"/>
    <mergeCell ref="B29:C29"/>
    <mergeCell ref="B30:C30"/>
    <mergeCell ref="D31:F31"/>
    <mergeCell ref="G31:I31"/>
    <mergeCell ref="D33:F33"/>
    <mergeCell ref="G33:I33"/>
    <mergeCell ref="D32:F32"/>
    <mergeCell ref="G32:I32"/>
    <mergeCell ref="D28:F28"/>
    <mergeCell ref="G28:I28"/>
    <mergeCell ref="D27:F27"/>
    <mergeCell ref="G27:I27"/>
    <mergeCell ref="D29:F29"/>
    <mergeCell ref="G29:I29"/>
    <mergeCell ref="D30:F30"/>
    <mergeCell ref="D34:F34"/>
    <mergeCell ref="AW34:AX34"/>
    <mergeCell ref="AZ34:BA34"/>
    <mergeCell ref="BB34:BC34"/>
    <mergeCell ref="J34:N34"/>
    <mergeCell ref="O34:AD34"/>
    <mergeCell ref="AF34:AV34"/>
    <mergeCell ref="BB27:BC27"/>
    <mergeCell ref="BB28:BC28"/>
    <mergeCell ref="AF28:AV28"/>
    <mergeCell ref="AW28:AX28"/>
    <mergeCell ref="AZ28:BA28"/>
    <mergeCell ref="BB29:BC29"/>
    <mergeCell ref="AF30:AV30"/>
    <mergeCell ref="AW30:AX30"/>
    <mergeCell ref="AW33:AX33"/>
    <mergeCell ref="AZ31:BA31"/>
    <mergeCell ref="BB31:BC31"/>
    <mergeCell ref="AF32:AV32"/>
    <mergeCell ref="AW32:AX32"/>
    <mergeCell ref="AZ32:BA32"/>
    <mergeCell ref="AZ33:BA33"/>
    <mergeCell ref="BB33:BC33"/>
    <mergeCell ref="AZ30:BA30"/>
    <mergeCell ref="BB30:BC30"/>
    <mergeCell ref="BB32:BC32"/>
    <mergeCell ref="AF31:AV31"/>
    <mergeCell ref="AW31:AX31"/>
    <mergeCell ref="AH41:AJ41"/>
    <mergeCell ref="AK41:AM41"/>
    <mergeCell ref="AN41:AO41"/>
    <mergeCell ref="AQ41:AR41"/>
    <mergeCell ref="AS41:AU41"/>
    <mergeCell ref="I41:J41"/>
    <mergeCell ref="K41:AG41"/>
    <mergeCell ref="G34:I34"/>
    <mergeCell ref="AS40:AU40"/>
    <mergeCell ref="I40:J40"/>
    <mergeCell ref="AN39:AR39"/>
    <mergeCell ref="AS39:AU39"/>
    <mergeCell ref="AH40:AJ40"/>
    <mergeCell ref="AK40:AM40"/>
    <mergeCell ref="AN40:AO40"/>
    <mergeCell ref="AQ40:AR40"/>
    <mergeCell ref="K40:AG40"/>
    <mergeCell ref="AH39:AJ39"/>
    <mergeCell ref="I39:AG39"/>
    <mergeCell ref="AK39:AM39"/>
    <mergeCell ref="J33:N33"/>
    <mergeCell ref="AK44:AM44"/>
    <mergeCell ref="AN44:AO44"/>
    <mergeCell ref="AQ44:AR44"/>
    <mergeCell ref="AQ42:AR42"/>
    <mergeCell ref="AS44:AU44"/>
    <mergeCell ref="I44:J44"/>
    <mergeCell ref="K43:AG43"/>
    <mergeCell ref="AH43:AJ43"/>
    <mergeCell ref="AK43:AM43"/>
    <mergeCell ref="AN43:AO43"/>
    <mergeCell ref="K44:AG44"/>
    <mergeCell ref="K42:AG42"/>
    <mergeCell ref="AH44:AJ44"/>
    <mergeCell ref="AH42:AJ42"/>
    <mergeCell ref="AQ43:AR43"/>
    <mergeCell ref="AS43:AU43"/>
    <mergeCell ref="I43:J43"/>
    <mergeCell ref="AS42:AU42"/>
    <mergeCell ref="I42:J42"/>
    <mergeCell ref="AK42:AM42"/>
    <mergeCell ref="AN42:AO42"/>
    <mergeCell ref="O33:AD33"/>
    <mergeCell ref="AF33:AV33"/>
    <mergeCell ref="J29:N29"/>
    <mergeCell ref="O29:AD29"/>
    <mergeCell ref="AF29:AV29"/>
    <mergeCell ref="A2:AP2"/>
    <mergeCell ref="A3:AP3"/>
    <mergeCell ref="A4:AP4"/>
    <mergeCell ref="N15:AJ15"/>
    <mergeCell ref="AL10:AP10"/>
    <mergeCell ref="U10:V10"/>
    <mergeCell ref="AK15:AL15"/>
    <mergeCell ref="M6:T6"/>
    <mergeCell ref="Y6:AF6"/>
    <mergeCell ref="B8:AM8"/>
    <mergeCell ref="J30:N30"/>
    <mergeCell ref="O30:AD30"/>
    <mergeCell ref="J31:N31"/>
    <mergeCell ref="O31:AD31"/>
    <mergeCell ref="J32:N32"/>
    <mergeCell ref="O32:AD32"/>
    <mergeCell ref="B33:C33"/>
    <mergeCell ref="B24:C24"/>
    <mergeCell ref="J24:N24"/>
  </mergeCells>
  <phoneticPr fontId="2" type="noConversion"/>
  <pageMargins left="0.39370078740157483" right="0.39370078740157483" top="0.39370078740157483" bottom="0.39370078740157483" header="0" footer="0"/>
  <pageSetup paperSize="9" orientation="portrait" r:id="rId1"/>
  <headerFooter alignWithMargins="0">
    <oddFooter xml:space="preserve">&amp;C                                  &amp;F&amp;R&amp;P von &amp;N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DL44"/>
  <sheetViews>
    <sheetView topLeftCell="A10" zoomScale="112" zoomScaleNormal="70" workbookViewId="0">
      <selection activeCell="CH34" sqref="AW20:CH34"/>
    </sheetView>
  </sheetViews>
  <sheetFormatPr baseColWidth="10" defaultColWidth="1.7109375" defaultRowHeight="12.75" x14ac:dyDescent="0.2"/>
  <cols>
    <col min="1" max="55" width="1.7109375" customWidth="1"/>
    <col min="56" max="56" width="1.7109375" style="7" customWidth="1"/>
    <col min="57" max="57" width="1.7109375" style="40" customWidth="1"/>
    <col min="58" max="58" width="2.85546875" style="40" customWidth="1"/>
    <col min="59" max="59" width="2.140625" style="40" customWidth="1"/>
    <col min="60" max="60" width="2.85546875" style="40" customWidth="1"/>
    <col min="61" max="64" width="1.7109375" style="40" customWidth="1"/>
    <col min="65" max="65" width="3.42578125" style="40" bestFit="1" customWidth="1"/>
    <col min="66" max="66" width="2.28515625" style="40" customWidth="1"/>
    <col min="67" max="68" width="2.140625" style="40" bestFit="1" customWidth="1"/>
    <col min="69" max="69" width="2.28515625" style="40" customWidth="1"/>
    <col min="70" max="70" width="2.5703125" style="40" customWidth="1"/>
    <col min="71" max="71" width="2.140625" style="40" bestFit="1" customWidth="1"/>
    <col min="72" max="73" width="1.7109375" style="40" customWidth="1"/>
    <col min="74" max="80" width="1.7109375" style="41" customWidth="1"/>
    <col min="81" max="90" width="1.7109375" style="31" customWidth="1"/>
    <col min="91" max="98" width="1.7109375" style="7" customWidth="1"/>
    <col min="99" max="115" width="1.7109375" style="31" customWidth="1"/>
    <col min="116" max="116" width="1.7109375" style="7" customWidth="1"/>
  </cols>
  <sheetData>
    <row r="1" spans="1:115" customFormat="1" ht="7.5" customHeight="1" x14ac:dyDescent="0.2">
      <c r="BD1" s="7"/>
      <c r="BE1" s="40"/>
      <c r="BF1" s="40"/>
      <c r="BG1" s="40"/>
      <c r="BH1" s="40"/>
      <c r="BI1" s="40"/>
      <c r="BJ1" s="40"/>
      <c r="BK1" s="40"/>
      <c r="BL1" s="40"/>
      <c r="BM1" s="40"/>
      <c r="BN1" s="40"/>
      <c r="BO1" s="40"/>
      <c r="BP1" s="40"/>
      <c r="BQ1" s="40"/>
      <c r="BR1" s="40"/>
      <c r="BS1" s="40"/>
      <c r="BT1" s="40"/>
      <c r="BU1" s="40"/>
      <c r="BV1" s="41"/>
      <c r="BW1" s="41"/>
      <c r="BX1" s="41"/>
      <c r="BY1" s="41"/>
      <c r="BZ1" s="41"/>
      <c r="CA1" s="41"/>
      <c r="CB1" s="41"/>
      <c r="CC1" s="31"/>
      <c r="CD1" s="31"/>
      <c r="CE1" s="31"/>
      <c r="CF1" s="31"/>
      <c r="CG1" s="31"/>
      <c r="CH1" s="31"/>
      <c r="CI1" s="31"/>
      <c r="CJ1" s="31"/>
      <c r="CK1" s="31"/>
      <c r="CL1" s="31"/>
      <c r="CM1" s="7"/>
      <c r="CN1" s="7"/>
      <c r="CO1" s="7"/>
      <c r="CP1" s="7"/>
      <c r="CQ1" s="7"/>
      <c r="CR1" s="7"/>
      <c r="CS1" s="7"/>
      <c r="CT1" s="7"/>
      <c r="CU1" s="31"/>
      <c r="CV1" s="31"/>
      <c r="CW1" s="31"/>
      <c r="CX1" s="31"/>
      <c r="CY1" s="31"/>
      <c r="CZ1" s="31"/>
      <c r="DA1" s="31"/>
      <c r="DB1" s="31"/>
      <c r="DC1" s="31"/>
      <c r="DD1" s="31"/>
      <c r="DE1" s="31"/>
      <c r="DF1" s="31"/>
      <c r="DG1" s="31"/>
      <c r="DH1" s="31"/>
      <c r="DI1" s="31"/>
      <c r="DJ1" s="31"/>
      <c r="DK1" s="31"/>
    </row>
    <row r="2" spans="1:115" customFormat="1" ht="33" x14ac:dyDescent="0.2">
      <c r="A2" s="76" t="s">
        <v>38</v>
      </c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19"/>
      <c r="AR2" s="20"/>
      <c r="AS2" s="20"/>
      <c r="AT2" s="20"/>
      <c r="AU2" s="20"/>
      <c r="AV2" s="20"/>
      <c r="AW2" s="20"/>
      <c r="AX2" s="20"/>
      <c r="AY2" s="20"/>
      <c r="AZ2" s="20"/>
      <c r="BA2" s="20"/>
      <c r="BB2" s="20"/>
      <c r="BC2" s="21"/>
      <c r="BD2" s="7"/>
      <c r="BE2" s="40"/>
      <c r="BF2" s="40"/>
      <c r="BG2" s="40"/>
      <c r="BH2" s="40"/>
      <c r="BI2" s="40"/>
      <c r="BJ2" s="40"/>
      <c r="BK2" s="40"/>
      <c r="BL2" s="40"/>
      <c r="BM2" s="40"/>
      <c r="BN2" s="40"/>
      <c r="BO2" s="40"/>
      <c r="BP2" s="40"/>
      <c r="BQ2" s="40"/>
      <c r="BR2" s="40"/>
      <c r="BS2" s="40"/>
      <c r="BT2" s="40"/>
      <c r="BU2" s="40"/>
      <c r="BV2" s="41"/>
      <c r="BW2" s="41"/>
      <c r="BX2" s="41"/>
      <c r="BY2" s="41"/>
      <c r="BZ2" s="41"/>
      <c r="CA2" s="41"/>
      <c r="CB2" s="41"/>
      <c r="CC2" s="31"/>
      <c r="CD2" s="31"/>
      <c r="CE2" s="31"/>
      <c r="CF2" s="31"/>
      <c r="CG2" s="31"/>
      <c r="CH2" s="31"/>
      <c r="CI2" s="31"/>
      <c r="CJ2" s="31"/>
      <c r="CK2" s="31"/>
      <c r="CL2" s="31"/>
      <c r="CM2" s="7"/>
      <c r="CN2" s="7"/>
      <c r="CO2" s="7"/>
      <c r="CP2" s="7"/>
      <c r="CQ2" s="7"/>
      <c r="CR2" s="7"/>
      <c r="CS2" s="7"/>
      <c r="CT2" s="7"/>
      <c r="CU2" s="31"/>
      <c r="CV2" s="31"/>
      <c r="CW2" s="31"/>
      <c r="CX2" s="31"/>
      <c r="CY2" s="31"/>
      <c r="CZ2" s="31"/>
      <c r="DA2" s="31"/>
      <c r="DB2" s="31"/>
      <c r="DC2" s="31"/>
      <c r="DD2" s="31"/>
      <c r="DE2" s="31"/>
      <c r="DF2" s="31"/>
      <c r="DG2" s="31"/>
      <c r="DH2" s="31"/>
      <c r="DI2" s="31"/>
      <c r="DJ2" s="31"/>
      <c r="DK2" s="31"/>
    </row>
    <row r="3" spans="1:115" s="11" customFormat="1" ht="27" x14ac:dyDescent="0.5">
      <c r="A3" s="77" t="s">
        <v>39</v>
      </c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7"/>
      <c r="AB3" s="77"/>
      <c r="AC3" s="77"/>
      <c r="AD3" s="77"/>
      <c r="AE3" s="77"/>
      <c r="AF3" s="77"/>
      <c r="AG3" s="77"/>
      <c r="AH3" s="77"/>
      <c r="AI3" s="77"/>
      <c r="AJ3" s="77"/>
      <c r="AK3" s="77"/>
      <c r="AL3" s="77"/>
      <c r="AM3" s="77"/>
      <c r="AN3" s="77"/>
      <c r="AO3" s="77"/>
      <c r="AP3" s="77"/>
      <c r="AQ3" s="22"/>
      <c r="AR3" s="23"/>
      <c r="AS3" s="23"/>
      <c r="AT3" s="23" t="s">
        <v>25</v>
      </c>
      <c r="AU3" s="23"/>
      <c r="AV3" s="23"/>
      <c r="AW3" s="23"/>
      <c r="AX3" s="23"/>
      <c r="AY3" s="23"/>
      <c r="AZ3" s="23"/>
      <c r="BA3" s="23"/>
      <c r="BB3" s="23"/>
      <c r="BC3" s="24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3"/>
      <c r="BW3" s="43"/>
      <c r="BX3" s="43"/>
      <c r="BY3" s="43"/>
      <c r="BZ3" s="43"/>
      <c r="CA3" s="43"/>
      <c r="CB3" s="43"/>
      <c r="CC3" s="32"/>
      <c r="CD3" s="32"/>
      <c r="CE3" s="32"/>
      <c r="CF3" s="32"/>
      <c r="CG3" s="32"/>
      <c r="CH3" s="32"/>
      <c r="CI3" s="32"/>
      <c r="CJ3" s="32"/>
      <c r="CK3" s="32"/>
      <c r="CL3" s="32"/>
      <c r="CU3" s="32"/>
      <c r="CV3" s="32"/>
      <c r="CW3" s="32"/>
      <c r="CX3" s="32"/>
      <c r="CY3" s="32"/>
      <c r="CZ3" s="32"/>
      <c r="DA3" s="32"/>
      <c r="DB3" s="32"/>
      <c r="DC3" s="32"/>
      <c r="DD3" s="32"/>
      <c r="DE3" s="32"/>
      <c r="DF3" s="32"/>
      <c r="DG3" s="32"/>
      <c r="DH3" s="32"/>
      <c r="DI3" s="32"/>
      <c r="DJ3" s="32"/>
      <c r="DK3" s="32"/>
    </row>
    <row r="4" spans="1:115" s="2" customFormat="1" ht="15" x14ac:dyDescent="0.2">
      <c r="A4" s="78"/>
      <c r="B4" s="78"/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  <c r="X4" s="78"/>
      <c r="Y4" s="78"/>
      <c r="Z4" s="78"/>
      <c r="AA4" s="78"/>
      <c r="AB4" s="78"/>
      <c r="AC4" s="78"/>
      <c r="AD4" s="78"/>
      <c r="AE4" s="78"/>
      <c r="AF4" s="78"/>
      <c r="AG4" s="78"/>
      <c r="AH4" s="78"/>
      <c r="AI4" s="78"/>
      <c r="AJ4" s="78"/>
      <c r="AK4" s="78"/>
      <c r="AL4" s="78"/>
      <c r="AM4" s="78"/>
      <c r="AN4" s="78"/>
      <c r="AO4" s="78"/>
      <c r="AP4" s="78"/>
      <c r="AQ4" s="25"/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7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  <c r="BU4" s="44"/>
      <c r="BV4" s="45"/>
      <c r="BW4" s="45"/>
      <c r="BX4" s="45"/>
      <c r="BY4" s="45"/>
      <c r="BZ4" s="45"/>
      <c r="CA4" s="45"/>
      <c r="CB4" s="45"/>
      <c r="CC4" s="33"/>
      <c r="CD4" s="33"/>
      <c r="CE4" s="33"/>
      <c r="CF4" s="33"/>
      <c r="CG4" s="33"/>
      <c r="CH4" s="33"/>
      <c r="CI4" s="33"/>
      <c r="CJ4" s="33"/>
      <c r="CK4" s="33"/>
      <c r="CL4" s="33"/>
      <c r="CU4" s="33"/>
      <c r="CV4" s="33"/>
      <c r="CW4" s="33"/>
      <c r="CX4" s="33"/>
      <c r="CY4" s="33"/>
      <c r="CZ4" s="33"/>
      <c r="DA4" s="33"/>
      <c r="DB4" s="33"/>
      <c r="DC4" s="33"/>
      <c r="DD4" s="33"/>
      <c r="DE4" s="33"/>
      <c r="DF4" s="33"/>
      <c r="DG4" s="33"/>
      <c r="DH4" s="33"/>
      <c r="DI4" s="33"/>
      <c r="DJ4" s="33"/>
      <c r="DK4" s="33"/>
    </row>
    <row r="5" spans="1:115" s="2" customFormat="1" ht="6" customHeight="1" x14ac:dyDescent="0.2">
      <c r="AQ5" s="25"/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7"/>
      <c r="BE5" s="44"/>
      <c r="BF5" s="44"/>
      <c r="BG5" s="44"/>
      <c r="BH5" s="44"/>
      <c r="BI5" s="44"/>
      <c r="BJ5" s="44"/>
      <c r="BK5" s="44"/>
      <c r="BL5" s="44"/>
      <c r="BM5" s="44"/>
      <c r="BN5" s="44"/>
      <c r="BO5" s="44"/>
      <c r="BP5" s="44"/>
      <c r="BQ5" s="44"/>
      <c r="BR5" s="44"/>
      <c r="BS5" s="44"/>
      <c r="BT5" s="44"/>
      <c r="BU5" s="44"/>
      <c r="BV5" s="45"/>
      <c r="BW5" s="45"/>
      <c r="BX5" s="45"/>
      <c r="BY5" s="45"/>
      <c r="BZ5" s="45"/>
      <c r="CA5" s="45"/>
      <c r="CB5" s="45"/>
      <c r="CC5" s="33"/>
      <c r="CD5" s="33"/>
      <c r="CE5" s="33"/>
      <c r="CF5" s="33"/>
      <c r="CG5" s="33"/>
      <c r="CH5" s="33"/>
      <c r="CI5" s="33"/>
      <c r="CJ5" s="33"/>
      <c r="CK5" s="33"/>
      <c r="CL5" s="33"/>
      <c r="CU5" s="33"/>
      <c r="CV5" s="33"/>
      <c r="CW5" s="33"/>
      <c r="CX5" s="33"/>
      <c r="CY5" s="33"/>
      <c r="CZ5" s="33"/>
      <c r="DA5" s="33"/>
      <c r="DB5" s="33"/>
      <c r="DC5" s="33"/>
      <c r="DD5" s="33"/>
      <c r="DE5" s="33"/>
      <c r="DF5" s="33"/>
      <c r="DG5" s="33"/>
      <c r="DH5" s="33"/>
      <c r="DI5" s="33"/>
      <c r="DJ5" s="33"/>
      <c r="DK5" s="33"/>
    </row>
    <row r="6" spans="1:115" s="2" customFormat="1" ht="15.75" x14ac:dyDescent="0.25">
      <c r="L6" s="3" t="s">
        <v>0</v>
      </c>
      <c r="M6" s="86" t="s">
        <v>1</v>
      </c>
      <c r="N6" s="86"/>
      <c r="O6" s="86"/>
      <c r="P6" s="86"/>
      <c r="Q6" s="86"/>
      <c r="R6" s="86"/>
      <c r="S6" s="86"/>
      <c r="T6" s="86"/>
      <c r="U6" s="2" t="s">
        <v>2</v>
      </c>
      <c r="Y6" s="87">
        <v>39312</v>
      </c>
      <c r="Z6" s="87"/>
      <c r="AA6" s="87"/>
      <c r="AB6" s="87"/>
      <c r="AC6" s="87"/>
      <c r="AD6" s="87"/>
      <c r="AE6" s="87"/>
      <c r="AF6" s="87"/>
      <c r="AQ6" s="25"/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7"/>
      <c r="BE6" s="44"/>
      <c r="BF6" s="44"/>
      <c r="BG6" s="44"/>
      <c r="BH6" s="44"/>
      <c r="BI6" s="44"/>
      <c r="BJ6" s="44"/>
      <c r="BK6" s="44"/>
      <c r="BL6" s="44"/>
      <c r="BM6" s="44"/>
      <c r="BN6" s="44"/>
      <c r="BO6" s="44"/>
      <c r="BP6" s="44"/>
      <c r="BQ6" s="44"/>
      <c r="BR6" s="44"/>
      <c r="BS6" s="44"/>
      <c r="BT6" s="44"/>
      <c r="BU6" s="44"/>
      <c r="BV6" s="45"/>
      <c r="BW6" s="45"/>
      <c r="BX6" s="45"/>
      <c r="BY6" s="45"/>
      <c r="BZ6" s="45"/>
      <c r="CA6" s="45"/>
      <c r="CB6" s="45"/>
      <c r="CC6" s="33"/>
      <c r="CD6" s="33"/>
      <c r="CE6" s="33"/>
      <c r="CF6" s="33"/>
      <c r="CG6" s="33"/>
      <c r="CH6" s="33"/>
      <c r="CI6" s="33"/>
      <c r="CJ6" s="33"/>
      <c r="CK6" s="33"/>
      <c r="CL6" s="33"/>
      <c r="CU6" s="33"/>
      <c r="CV6" s="33"/>
      <c r="CW6" s="33"/>
      <c r="CX6" s="33"/>
      <c r="CY6" s="33"/>
      <c r="CZ6" s="33"/>
      <c r="DA6" s="33"/>
      <c r="DB6" s="33"/>
      <c r="DC6" s="33"/>
      <c r="DD6" s="33"/>
      <c r="DE6" s="33"/>
      <c r="DF6" s="33"/>
      <c r="DG6" s="33"/>
      <c r="DH6" s="33"/>
      <c r="DI6" s="33"/>
      <c r="DJ6" s="33"/>
      <c r="DK6" s="33"/>
    </row>
    <row r="7" spans="1:115" s="2" customFormat="1" ht="6" customHeight="1" x14ac:dyDescent="0.2">
      <c r="AQ7" s="25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7"/>
      <c r="BE7" s="44"/>
      <c r="BF7" s="44"/>
      <c r="BG7" s="44"/>
      <c r="BH7" s="44"/>
      <c r="BI7" s="44"/>
      <c r="BJ7" s="44"/>
      <c r="BK7" s="44"/>
      <c r="BL7" s="44"/>
      <c r="BM7" s="44"/>
      <c r="BN7" s="44"/>
      <c r="BO7" s="44"/>
      <c r="BP7" s="44"/>
      <c r="BQ7" s="44"/>
      <c r="BR7" s="44"/>
      <c r="BS7" s="44"/>
      <c r="BT7" s="44"/>
      <c r="BU7" s="44"/>
      <c r="BV7" s="45"/>
      <c r="BW7" s="45"/>
      <c r="BX7" s="45"/>
      <c r="BY7" s="45"/>
      <c r="BZ7" s="45"/>
      <c r="CA7" s="45"/>
      <c r="CB7" s="45"/>
      <c r="CC7" s="33"/>
      <c r="CD7" s="33"/>
      <c r="CE7" s="33"/>
      <c r="CF7" s="33"/>
      <c r="CG7" s="33"/>
      <c r="CH7" s="33"/>
      <c r="CI7" s="33"/>
      <c r="CJ7" s="33"/>
      <c r="CK7" s="33"/>
      <c r="CL7" s="33"/>
      <c r="CU7" s="33"/>
      <c r="CV7" s="33"/>
      <c r="CW7" s="33"/>
      <c r="CX7" s="33"/>
      <c r="CY7" s="33"/>
      <c r="CZ7" s="33"/>
      <c r="DA7" s="33"/>
      <c r="DB7" s="33"/>
      <c r="DC7" s="33"/>
      <c r="DD7" s="33"/>
      <c r="DE7" s="33"/>
      <c r="DF7" s="33"/>
      <c r="DG7" s="33"/>
      <c r="DH7" s="33"/>
      <c r="DI7" s="33"/>
      <c r="DJ7" s="33"/>
      <c r="DK7" s="33"/>
    </row>
    <row r="8" spans="1:115" s="2" customFormat="1" ht="15" x14ac:dyDescent="0.2">
      <c r="B8" s="88" t="s">
        <v>41</v>
      </c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Q8" s="28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30"/>
      <c r="BE8" s="44"/>
      <c r="BF8" s="44"/>
      <c r="BG8" s="44"/>
      <c r="BH8" s="44"/>
      <c r="BI8" s="44"/>
      <c r="BJ8" s="44"/>
      <c r="BK8" s="44"/>
      <c r="BL8" s="44"/>
      <c r="BM8" s="44"/>
      <c r="BN8" s="44"/>
      <c r="BO8" s="44"/>
      <c r="BP8" s="44"/>
      <c r="BQ8" s="44"/>
      <c r="BR8" s="44"/>
      <c r="BS8" s="44"/>
      <c r="BT8" s="44"/>
      <c r="BU8" s="44"/>
      <c r="BV8" s="45"/>
      <c r="BW8" s="45"/>
      <c r="BX8" s="45"/>
      <c r="BY8" s="45"/>
      <c r="BZ8" s="45"/>
      <c r="CA8" s="45"/>
      <c r="CB8" s="45"/>
      <c r="CC8" s="33"/>
      <c r="CD8" s="33"/>
      <c r="CE8" s="33"/>
      <c r="CF8" s="33"/>
      <c r="CG8" s="33"/>
      <c r="CH8" s="33"/>
      <c r="CI8" s="33"/>
      <c r="CJ8" s="33"/>
      <c r="CK8" s="33"/>
      <c r="CL8" s="33"/>
      <c r="CU8" s="33"/>
      <c r="CV8" s="33"/>
      <c r="CW8" s="33"/>
      <c r="CX8" s="33"/>
      <c r="CY8" s="33"/>
      <c r="CZ8" s="33"/>
      <c r="DA8" s="33"/>
      <c r="DB8" s="33"/>
      <c r="DC8" s="33"/>
      <c r="DD8" s="33"/>
      <c r="DE8" s="33"/>
      <c r="DF8" s="33"/>
      <c r="DG8" s="33"/>
      <c r="DH8" s="33"/>
      <c r="DI8" s="33"/>
      <c r="DJ8" s="33"/>
      <c r="DK8" s="33"/>
    </row>
    <row r="9" spans="1:115" s="2" customFormat="1" ht="6" customHeight="1" x14ac:dyDescent="0.2">
      <c r="BE9" s="44"/>
      <c r="BF9" s="44"/>
      <c r="BG9" s="44"/>
      <c r="BH9" s="44"/>
      <c r="BI9" s="44"/>
      <c r="BJ9" s="44"/>
      <c r="BK9" s="44"/>
      <c r="BL9" s="44"/>
      <c r="BM9" s="44"/>
      <c r="BN9" s="44"/>
      <c r="BO9" s="44"/>
      <c r="BP9" s="44"/>
      <c r="BQ9" s="44"/>
      <c r="BR9" s="44"/>
      <c r="BS9" s="44"/>
      <c r="BT9" s="44"/>
      <c r="BU9" s="44"/>
      <c r="BV9" s="45"/>
      <c r="BW9" s="45"/>
      <c r="BX9" s="45"/>
      <c r="BY9" s="45"/>
      <c r="BZ9" s="45"/>
      <c r="CA9" s="45"/>
      <c r="CB9" s="45"/>
      <c r="CC9" s="33"/>
      <c r="CD9" s="33"/>
      <c r="CE9" s="33"/>
      <c r="CF9" s="33"/>
      <c r="CG9" s="33"/>
      <c r="CH9" s="33"/>
      <c r="CI9" s="33"/>
      <c r="CJ9" s="33"/>
      <c r="CK9" s="33"/>
      <c r="CL9" s="33"/>
      <c r="CU9" s="33"/>
      <c r="CV9" s="33"/>
      <c r="CW9" s="33"/>
      <c r="CX9" s="33"/>
      <c r="CY9" s="33"/>
      <c r="CZ9" s="33"/>
      <c r="DA9" s="33"/>
      <c r="DB9" s="33"/>
      <c r="DC9" s="33"/>
      <c r="DD9" s="33"/>
      <c r="DE9" s="33"/>
      <c r="DF9" s="33"/>
      <c r="DG9" s="33"/>
      <c r="DH9" s="33"/>
      <c r="DI9" s="33"/>
      <c r="DJ9" s="33"/>
      <c r="DK9" s="33"/>
    </row>
    <row r="10" spans="1:115" s="2" customFormat="1" ht="15.75" x14ac:dyDescent="0.25">
      <c r="G10" s="6" t="s">
        <v>3</v>
      </c>
      <c r="H10" s="130">
        <v>0.625</v>
      </c>
      <c r="I10" s="130"/>
      <c r="J10" s="130"/>
      <c r="K10" s="130"/>
      <c r="L10" s="130"/>
      <c r="M10" s="7" t="s">
        <v>4</v>
      </c>
      <c r="T10" s="6" t="s">
        <v>5</v>
      </c>
      <c r="U10" s="83">
        <v>2</v>
      </c>
      <c r="V10" s="83" t="s">
        <v>6</v>
      </c>
      <c r="W10" s="18" t="s">
        <v>26</v>
      </c>
      <c r="X10" s="82">
        <v>5.208333333333333E-3</v>
      </c>
      <c r="Y10" s="82"/>
      <c r="Z10" s="82"/>
      <c r="AA10" s="82"/>
      <c r="AB10" s="82"/>
      <c r="AC10" s="7" t="s">
        <v>7</v>
      </c>
      <c r="AK10" s="6" t="s">
        <v>8</v>
      </c>
      <c r="AL10" s="82">
        <v>0</v>
      </c>
      <c r="AM10" s="82"/>
      <c r="AN10" s="82"/>
      <c r="AO10" s="82"/>
      <c r="AP10" s="82"/>
      <c r="AQ10" s="7" t="s">
        <v>7</v>
      </c>
      <c r="BE10" s="44"/>
      <c r="BF10" s="44"/>
      <c r="BG10" s="44"/>
      <c r="BH10" s="44"/>
      <c r="BI10" s="44"/>
      <c r="BJ10" s="44"/>
      <c r="BK10" s="44"/>
      <c r="BL10" s="44"/>
      <c r="BM10" s="44"/>
      <c r="BN10" s="44"/>
      <c r="BO10" s="44"/>
      <c r="BP10" s="44"/>
      <c r="BQ10" s="44"/>
      <c r="BR10" s="44"/>
      <c r="BS10" s="44"/>
      <c r="BT10" s="44"/>
      <c r="BU10" s="44"/>
      <c r="BV10" s="45"/>
      <c r="BW10" s="45"/>
      <c r="BX10" s="45"/>
      <c r="BY10" s="45"/>
      <c r="BZ10" s="45"/>
      <c r="CA10" s="45"/>
      <c r="CB10" s="45"/>
      <c r="CC10" s="33"/>
      <c r="CD10" s="33"/>
      <c r="CE10" s="33"/>
      <c r="CF10" s="33"/>
      <c r="CG10" s="33"/>
      <c r="CH10" s="33"/>
      <c r="CI10" s="33"/>
      <c r="CJ10" s="33"/>
      <c r="CK10" s="33"/>
      <c r="CL10" s="33"/>
      <c r="CU10" s="33"/>
      <c r="CV10" s="33"/>
      <c r="CW10" s="33"/>
      <c r="CX10" s="33"/>
      <c r="CY10" s="33"/>
      <c r="CZ10" s="33"/>
      <c r="DA10" s="33"/>
      <c r="DB10" s="33"/>
      <c r="DC10" s="33"/>
      <c r="DD10" s="33"/>
      <c r="DE10" s="33"/>
      <c r="DF10" s="33"/>
      <c r="DG10" s="33"/>
      <c r="DH10" s="33"/>
      <c r="DI10" s="33"/>
      <c r="DJ10" s="33"/>
      <c r="DK10" s="33"/>
    </row>
    <row r="11" spans="1:115" customFormat="1" ht="9" customHeight="1" x14ac:dyDescent="0.2">
      <c r="BD11" s="7"/>
      <c r="BE11" s="40"/>
      <c r="BF11" s="40"/>
      <c r="BG11" s="40"/>
      <c r="BH11" s="40"/>
      <c r="BI11" s="40"/>
      <c r="BJ11" s="40"/>
      <c r="BK11" s="40"/>
      <c r="BL11" s="40"/>
      <c r="BM11" s="40"/>
      <c r="BN11" s="40"/>
      <c r="BO11" s="40"/>
      <c r="BP11" s="40"/>
      <c r="BQ11" s="40"/>
      <c r="BR11" s="40"/>
      <c r="BS11" s="40"/>
      <c r="BT11" s="40"/>
      <c r="BU11" s="40"/>
      <c r="BV11" s="41"/>
      <c r="BW11" s="41"/>
      <c r="BX11" s="41"/>
      <c r="BY11" s="41"/>
      <c r="BZ11" s="41"/>
      <c r="CA11" s="41"/>
      <c r="CB11" s="41"/>
      <c r="CC11" s="31"/>
      <c r="CD11" s="31"/>
      <c r="CE11" s="31"/>
      <c r="CF11" s="31"/>
      <c r="CG11" s="31"/>
      <c r="CH11" s="31"/>
      <c r="CI11" s="31"/>
      <c r="CJ11" s="31"/>
      <c r="CK11" s="31"/>
      <c r="CL11" s="31"/>
      <c r="CM11" s="7"/>
      <c r="CN11" s="7"/>
      <c r="CO11" s="7"/>
      <c r="CP11" s="7"/>
      <c r="CQ11" s="7"/>
      <c r="CR11" s="7"/>
      <c r="CS11" s="7"/>
      <c r="CT11" s="7"/>
      <c r="CU11" s="31"/>
      <c r="CV11" s="31"/>
      <c r="CW11" s="31"/>
      <c r="CX11" s="31"/>
      <c r="CY11" s="31"/>
      <c r="CZ11" s="31"/>
      <c r="DA11" s="31"/>
      <c r="DB11" s="31"/>
      <c r="DC11" s="31"/>
      <c r="DD11" s="31"/>
      <c r="DE11" s="31"/>
      <c r="DF11" s="31"/>
      <c r="DG11" s="31"/>
      <c r="DH11" s="31"/>
      <c r="DI11" s="31"/>
      <c r="DJ11" s="31"/>
      <c r="DK11" s="31"/>
    </row>
    <row r="12" spans="1:115" customFormat="1" ht="6" customHeight="1" x14ac:dyDescent="0.2">
      <c r="BD12" s="7"/>
      <c r="BE12" s="40"/>
      <c r="BF12" s="40"/>
      <c r="BG12" s="40"/>
      <c r="BH12" s="40"/>
      <c r="BI12" s="40"/>
      <c r="BJ12" s="40"/>
      <c r="BK12" s="40"/>
      <c r="BL12" s="40"/>
      <c r="BM12" s="40"/>
      <c r="BN12" s="40"/>
      <c r="BO12" s="40"/>
      <c r="BP12" s="40"/>
      <c r="BQ12" s="40"/>
      <c r="BR12" s="40"/>
      <c r="BS12" s="40"/>
      <c r="BT12" s="40"/>
      <c r="BU12" s="40"/>
      <c r="BV12" s="41"/>
      <c r="BW12" s="41"/>
      <c r="BX12" s="41"/>
      <c r="BY12" s="41"/>
      <c r="BZ12" s="41"/>
      <c r="CA12" s="41"/>
      <c r="CB12" s="41"/>
      <c r="CC12" s="31"/>
      <c r="CD12" s="31"/>
      <c r="CE12" s="31"/>
      <c r="CF12" s="31"/>
      <c r="CG12" s="31"/>
      <c r="CH12" s="31"/>
      <c r="CI12" s="31"/>
      <c r="CJ12" s="31"/>
      <c r="CK12" s="31"/>
      <c r="CL12" s="31"/>
      <c r="CM12" s="7"/>
      <c r="CN12" s="7"/>
      <c r="CO12" s="7"/>
      <c r="CP12" s="7"/>
      <c r="CQ12" s="7"/>
      <c r="CR12" s="7"/>
      <c r="CS12" s="7"/>
      <c r="CT12" s="7"/>
      <c r="CU12" s="31"/>
      <c r="CV12" s="31"/>
      <c r="CW12" s="31"/>
      <c r="CX12" s="31"/>
      <c r="CY12" s="31"/>
      <c r="CZ12" s="31"/>
      <c r="DA12" s="31"/>
      <c r="DB12" s="31"/>
      <c r="DC12" s="31"/>
      <c r="DD12" s="31"/>
      <c r="DE12" s="31"/>
      <c r="DF12" s="31"/>
      <c r="DG12" s="31"/>
      <c r="DH12" s="31"/>
      <c r="DI12" s="31"/>
      <c r="DJ12" s="31"/>
      <c r="DK12" s="31"/>
    </row>
    <row r="13" spans="1:115" customFormat="1" x14ac:dyDescent="0.2">
      <c r="B13" s="1" t="s">
        <v>9</v>
      </c>
      <c r="BD13" s="7"/>
      <c r="BE13" s="40"/>
      <c r="BF13" s="40"/>
      <c r="BG13" s="40"/>
      <c r="BH13" s="40"/>
      <c r="BI13" s="40"/>
      <c r="BJ13" s="40"/>
      <c r="BK13" s="40"/>
      <c r="BL13" s="40"/>
      <c r="BM13" s="40"/>
      <c r="BN13" s="40"/>
      <c r="BO13" s="40"/>
      <c r="BP13" s="40"/>
      <c r="BQ13" s="40"/>
      <c r="BR13" s="40"/>
      <c r="BS13" s="40"/>
      <c r="BT13" s="40"/>
      <c r="BU13" s="40"/>
      <c r="BV13" s="41"/>
      <c r="BW13" s="41"/>
      <c r="BX13" s="41"/>
      <c r="BY13" s="41"/>
      <c r="BZ13" s="41"/>
      <c r="CA13" s="41"/>
      <c r="CB13" s="41"/>
      <c r="CC13" s="31"/>
      <c r="CD13" s="31"/>
      <c r="CE13" s="31"/>
      <c r="CF13" s="31"/>
      <c r="CG13" s="31"/>
      <c r="CH13" s="31"/>
      <c r="CI13" s="31"/>
      <c r="CJ13" s="31"/>
      <c r="CK13" s="31"/>
      <c r="CL13" s="31"/>
      <c r="CM13" s="7"/>
      <c r="CN13" s="7"/>
      <c r="CO13" s="7"/>
      <c r="CP13" s="7"/>
      <c r="CQ13" s="7"/>
      <c r="CR13" s="7"/>
      <c r="CS13" s="7"/>
      <c r="CT13" s="7"/>
      <c r="CU13" s="31"/>
      <c r="CV13" s="31"/>
      <c r="CW13" s="31"/>
      <c r="CX13" s="31"/>
      <c r="CY13" s="31"/>
      <c r="CZ13" s="31"/>
      <c r="DA13" s="31"/>
      <c r="DB13" s="31"/>
      <c r="DC13" s="31"/>
      <c r="DD13" s="31"/>
      <c r="DE13" s="31"/>
      <c r="DF13" s="31"/>
      <c r="DG13" s="31"/>
      <c r="DH13" s="31"/>
      <c r="DI13" s="31"/>
      <c r="DJ13" s="31"/>
      <c r="DK13" s="31"/>
    </row>
    <row r="14" spans="1:115" customFormat="1" ht="6" customHeight="1" thickBot="1" x14ac:dyDescent="0.25">
      <c r="BD14" s="7"/>
      <c r="BE14" s="40"/>
      <c r="BF14" s="40"/>
      <c r="BG14" s="40"/>
      <c r="BH14" s="40"/>
      <c r="BI14" s="40"/>
      <c r="BJ14" s="40"/>
      <c r="BK14" s="40"/>
      <c r="BL14" s="40"/>
      <c r="BM14" s="40"/>
      <c r="BN14" s="40"/>
      <c r="BO14" s="40"/>
      <c r="BP14" s="40"/>
      <c r="BQ14" s="40"/>
      <c r="BR14" s="40"/>
      <c r="BS14" s="40"/>
      <c r="BT14" s="40"/>
      <c r="BU14" s="40"/>
      <c r="BV14" s="41"/>
      <c r="BW14" s="41"/>
      <c r="BX14" s="41"/>
      <c r="BY14" s="41"/>
      <c r="BZ14" s="41"/>
      <c r="CA14" s="41"/>
      <c r="CB14" s="41"/>
      <c r="CC14" s="31"/>
      <c r="CD14" s="31"/>
      <c r="CE14" s="31"/>
      <c r="CF14" s="31"/>
      <c r="CG14" s="31"/>
      <c r="CH14" s="31"/>
      <c r="CI14" s="31"/>
      <c r="CJ14" s="31"/>
      <c r="CK14" s="31"/>
      <c r="CL14" s="31"/>
      <c r="CM14" s="7"/>
      <c r="CN14" s="7"/>
      <c r="CO14" s="7"/>
      <c r="CP14" s="7"/>
      <c r="CQ14" s="7"/>
      <c r="CR14" s="7"/>
      <c r="CS14" s="7"/>
      <c r="CT14" s="7"/>
      <c r="CU14" s="31"/>
      <c r="CV14" s="31"/>
      <c r="CW14" s="31"/>
      <c r="CX14" s="31"/>
      <c r="CY14" s="31"/>
      <c r="CZ14" s="31"/>
      <c r="DA14" s="31"/>
      <c r="DB14" s="31"/>
      <c r="DC14" s="31"/>
      <c r="DD14" s="31"/>
      <c r="DE14" s="31"/>
      <c r="DF14" s="31"/>
      <c r="DG14" s="31"/>
      <c r="DH14" s="31"/>
      <c r="DI14" s="31"/>
      <c r="DJ14" s="31"/>
      <c r="DK14" s="31"/>
    </row>
    <row r="15" spans="1:115" customFormat="1" ht="16.5" thickBot="1" x14ac:dyDescent="0.3">
      <c r="N15" s="79" t="s">
        <v>30</v>
      </c>
      <c r="O15" s="80"/>
      <c r="P15" s="80"/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  <c r="AD15" s="80"/>
      <c r="AE15" s="80"/>
      <c r="AF15" s="80"/>
      <c r="AG15" s="80"/>
      <c r="AH15" s="80"/>
      <c r="AI15" s="80"/>
      <c r="AJ15" s="81"/>
      <c r="AK15" s="84"/>
      <c r="AL15" s="85"/>
      <c r="BD15" s="7"/>
      <c r="BE15" s="40"/>
      <c r="BF15" s="40"/>
      <c r="BG15" s="40"/>
      <c r="BH15" s="40"/>
      <c r="BI15" s="40"/>
      <c r="BJ15" s="40"/>
      <c r="BK15" s="40"/>
      <c r="BL15" s="40"/>
      <c r="BM15" s="40"/>
      <c r="BN15" s="40"/>
      <c r="BO15" s="40"/>
      <c r="BP15" s="40"/>
      <c r="BQ15" s="40"/>
      <c r="BR15" s="40"/>
      <c r="BS15" s="40"/>
      <c r="BT15" s="40"/>
      <c r="BU15" s="40"/>
      <c r="BV15" s="41"/>
      <c r="BW15" s="41"/>
      <c r="BX15" s="41"/>
      <c r="BY15" s="41"/>
      <c r="BZ15" s="41"/>
      <c r="CA15" s="41"/>
      <c r="CB15" s="41"/>
      <c r="CC15" s="31"/>
      <c r="CD15" s="31"/>
      <c r="CE15" s="31"/>
      <c r="CF15" s="31"/>
      <c r="CG15" s="31"/>
      <c r="CH15" s="31"/>
      <c r="CI15" s="31"/>
      <c r="CJ15" s="31"/>
      <c r="CK15" s="31"/>
      <c r="CL15" s="31"/>
      <c r="CM15" s="7"/>
      <c r="CN15" s="7"/>
      <c r="CO15" s="7"/>
      <c r="CP15" s="7"/>
      <c r="CQ15" s="7"/>
      <c r="CR15" s="7"/>
      <c r="CS15" s="7"/>
      <c r="CT15" s="7"/>
      <c r="CU15" s="31"/>
      <c r="CV15" s="31"/>
      <c r="CW15" s="31"/>
      <c r="CX15" s="31"/>
      <c r="CY15" s="31"/>
      <c r="CZ15" s="31"/>
      <c r="DA15" s="31"/>
      <c r="DB15" s="31"/>
      <c r="DC15" s="31"/>
      <c r="DD15" s="31"/>
      <c r="DE15" s="31"/>
      <c r="DF15" s="31"/>
      <c r="DG15" s="31"/>
      <c r="DH15" s="31"/>
      <c r="DI15" s="31"/>
      <c r="DJ15" s="31"/>
      <c r="DK15" s="31"/>
    </row>
    <row r="16" spans="1:115" customFormat="1" ht="15" x14ac:dyDescent="0.2">
      <c r="N16" s="143" t="s">
        <v>10</v>
      </c>
      <c r="O16" s="144"/>
      <c r="P16" s="137" t="s">
        <v>42</v>
      </c>
      <c r="Q16" s="137"/>
      <c r="R16" s="137"/>
      <c r="S16" s="137"/>
      <c r="T16" s="137"/>
      <c r="U16" s="137"/>
      <c r="V16" s="137"/>
      <c r="W16" s="137"/>
      <c r="X16" s="137"/>
      <c r="Y16" s="137"/>
      <c r="Z16" s="137"/>
      <c r="AA16" s="137"/>
      <c r="AB16" s="137"/>
      <c r="AC16" s="137"/>
      <c r="AD16" s="137"/>
      <c r="AE16" s="137"/>
      <c r="AF16" s="137"/>
      <c r="AG16" s="137"/>
      <c r="AH16" s="137"/>
      <c r="AI16" s="137"/>
      <c r="AJ16" s="138"/>
      <c r="AK16" s="133"/>
      <c r="AL16" s="134"/>
      <c r="BD16" s="7"/>
      <c r="BE16" s="40"/>
      <c r="BF16" s="40"/>
      <c r="BG16" s="40"/>
      <c r="BH16" s="40"/>
      <c r="BI16" s="40"/>
      <c r="BJ16" s="40"/>
      <c r="BK16" s="40"/>
      <c r="BL16" s="40"/>
      <c r="BM16" s="40"/>
      <c r="BN16" s="40"/>
      <c r="BO16" s="40"/>
      <c r="BP16" s="40"/>
      <c r="BQ16" s="40"/>
      <c r="BR16" s="40"/>
      <c r="BS16" s="40"/>
      <c r="BT16" s="40"/>
      <c r="BU16" s="40"/>
      <c r="BV16" s="41"/>
      <c r="BW16" s="41"/>
      <c r="BX16" s="41"/>
      <c r="BY16" s="41"/>
      <c r="BZ16" s="41"/>
      <c r="CA16" s="41"/>
      <c r="CB16" s="41"/>
      <c r="CC16" s="31"/>
      <c r="CD16" s="31"/>
      <c r="CE16" s="31"/>
      <c r="CF16" s="31"/>
      <c r="CG16" s="31"/>
      <c r="CH16" s="31"/>
      <c r="CI16" s="31"/>
      <c r="CJ16" s="31"/>
      <c r="CK16" s="31"/>
      <c r="CL16" s="31"/>
      <c r="CM16" s="7"/>
      <c r="CN16" s="7"/>
      <c r="CO16" s="7"/>
      <c r="CP16" s="7"/>
      <c r="CQ16" s="7"/>
      <c r="CR16" s="7"/>
      <c r="CS16" s="7"/>
      <c r="CT16" s="7"/>
      <c r="CU16" s="31"/>
      <c r="CV16" s="31"/>
      <c r="CW16" s="31"/>
      <c r="CX16" s="31"/>
      <c r="CY16" s="31"/>
      <c r="CZ16" s="31"/>
      <c r="DA16" s="31"/>
      <c r="DB16" s="31"/>
      <c r="DC16" s="31"/>
      <c r="DD16" s="31"/>
      <c r="DE16" s="31"/>
      <c r="DF16" s="31"/>
      <c r="DG16" s="31"/>
      <c r="DH16" s="31"/>
      <c r="DI16" s="31"/>
      <c r="DJ16" s="31"/>
      <c r="DK16" s="31"/>
    </row>
    <row r="17" spans="2:116" ht="15" x14ac:dyDescent="0.2">
      <c r="N17" s="145" t="s">
        <v>11</v>
      </c>
      <c r="O17" s="146"/>
      <c r="P17" s="139" t="s">
        <v>43</v>
      </c>
      <c r="Q17" s="139"/>
      <c r="R17" s="139"/>
      <c r="S17" s="139"/>
      <c r="T17" s="139"/>
      <c r="U17" s="139"/>
      <c r="V17" s="139"/>
      <c r="W17" s="139"/>
      <c r="X17" s="139"/>
      <c r="Y17" s="139"/>
      <c r="Z17" s="139"/>
      <c r="AA17" s="139"/>
      <c r="AB17" s="139"/>
      <c r="AC17" s="139"/>
      <c r="AD17" s="139"/>
      <c r="AE17" s="139"/>
      <c r="AF17" s="139"/>
      <c r="AG17" s="139"/>
      <c r="AH17" s="139"/>
      <c r="AI17" s="139"/>
      <c r="AJ17" s="140"/>
      <c r="AK17" s="131"/>
      <c r="AL17" s="132"/>
    </row>
    <row r="18" spans="2:116" ht="15" x14ac:dyDescent="0.2">
      <c r="N18" s="145" t="s">
        <v>12</v>
      </c>
      <c r="O18" s="146"/>
      <c r="P18" s="139" t="s">
        <v>46</v>
      </c>
      <c r="Q18" s="139"/>
      <c r="R18" s="139"/>
      <c r="S18" s="139"/>
      <c r="T18" s="139"/>
      <c r="U18" s="139"/>
      <c r="V18" s="139"/>
      <c r="W18" s="139"/>
      <c r="X18" s="139"/>
      <c r="Y18" s="139"/>
      <c r="Z18" s="139"/>
      <c r="AA18" s="139"/>
      <c r="AB18" s="139"/>
      <c r="AC18" s="139"/>
      <c r="AD18" s="139"/>
      <c r="AE18" s="139"/>
      <c r="AF18" s="139"/>
      <c r="AG18" s="139"/>
      <c r="AH18" s="139"/>
      <c r="AI18" s="139"/>
      <c r="AJ18" s="140"/>
      <c r="AK18" s="131"/>
      <c r="AL18" s="132"/>
    </row>
    <row r="19" spans="2:116" ht="15" x14ac:dyDescent="0.2">
      <c r="N19" s="145" t="s">
        <v>13</v>
      </c>
      <c r="O19" s="146"/>
      <c r="P19" s="139" t="s">
        <v>45</v>
      </c>
      <c r="Q19" s="139"/>
      <c r="R19" s="139"/>
      <c r="S19" s="139"/>
      <c r="T19" s="139"/>
      <c r="U19" s="139"/>
      <c r="V19" s="139"/>
      <c r="W19" s="139"/>
      <c r="X19" s="139"/>
      <c r="Y19" s="139"/>
      <c r="Z19" s="139"/>
      <c r="AA19" s="139"/>
      <c r="AB19" s="139"/>
      <c r="AC19" s="139"/>
      <c r="AD19" s="139"/>
      <c r="AE19" s="139"/>
      <c r="AF19" s="139"/>
      <c r="AG19" s="139"/>
      <c r="AH19" s="139"/>
      <c r="AI19" s="139"/>
      <c r="AJ19" s="140"/>
      <c r="AK19" s="131"/>
      <c r="AL19" s="132"/>
    </row>
    <row r="20" spans="2:116" ht="15.75" thickBot="1" x14ac:dyDescent="0.25">
      <c r="N20" s="135" t="s">
        <v>14</v>
      </c>
      <c r="O20" s="136"/>
      <c r="P20" s="141" t="s">
        <v>44</v>
      </c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41"/>
      <c r="AC20" s="141"/>
      <c r="AD20" s="141"/>
      <c r="AE20" s="141"/>
      <c r="AF20" s="141"/>
      <c r="AG20" s="141"/>
      <c r="AH20" s="141"/>
      <c r="AI20" s="141"/>
      <c r="AJ20" s="142"/>
      <c r="AK20" s="147"/>
      <c r="AL20" s="148"/>
    </row>
    <row r="22" spans="2:116" x14ac:dyDescent="0.2">
      <c r="B22" s="1" t="s">
        <v>32</v>
      </c>
    </row>
    <row r="23" spans="2:116" ht="6" customHeight="1" thickBot="1" x14ac:dyDescent="0.25"/>
    <row r="24" spans="2:116" s="4" customFormat="1" ht="16.5" customHeight="1" thickBot="1" x14ac:dyDescent="0.25">
      <c r="B24" s="95" t="s">
        <v>15</v>
      </c>
      <c r="C24" s="96"/>
      <c r="D24" s="97" t="s">
        <v>27</v>
      </c>
      <c r="E24" s="98"/>
      <c r="F24" s="99"/>
      <c r="G24" s="97"/>
      <c r="H24" s="98"/>
      <c r="I24" s="99"/>
      <c r="J24" s="97" t="s">
        <v>16</v>
      </c>
      <c r="K24" s="98"/>
      <c r="L24" s="98"/>
      <c r="M24" s="98"/>
      <c r="N24" s="99"/>
      <c r="O24" s="97" t="s">
        <v>17</v>
      </c>
      <c r="P24" s="98"/>
      <c r="Q24" s="98"/>
      <c r="R24" s="98"/>
      <c r="S24" s="98"/>
      <c r="T24" s="98"/>
      <c r="U24" s="98"/>
      <c r="V24" s="98"/>
      <c r="W24" s="98"/>
      <c r="X24" s="98"/>
      <c r="Y24" s="98"/>
      <c r="Z24" s="98"/>
      <c r="AA24" s="98"/>
      <c r="AB24" s="98"/>
      <c r="AC24" s="98"/>
      <c r="AD24" s="98"/>
      <c r="AE24" s="98"/>
      <c r="AF24" s="98"/>
      <c r="AG24" s="98"/>
      <c r="AH24" s="98"/>
      <c r="AI24" s="98"/>
      <c r="AJ24" s="98"/>
      <c r="AK24" s="98"/>
      <c r="AL24" s="98"/>
      <c r="AM24" s="98"/>
      <c r="AN24" s="98"/>
      <c r="AO24" s="98"/>
      <c r="AP24" s="98"/>
      <c r="AQ24" s="98"/>
      <c r="AR24" s="98"/>
      <c r="AS24" s="98"/>
      <c r="AT24" s="98"/>
      <c r="AU24" s="98"/>
      <c r="AV24" s="99"/>
      <c r="AW24" s="97" t="s">
        <v>20</v>
      </c>
      <c r="AX24" s="98"/>
      <c r="AY24" s="98"/>
      <c r="AZ24" s="98"/>
      <c r="BA24" s="99"/>
      <c r="BB24" s="149"/>
      <c r="BC24" s="150"/>
      <c r="BD24" s="58"/>
      <c r="BE24" s="46"/>
      <c r="BF24" s="47" t="s">
        <v>24</v>
      </c>
      <c r="BG24" s="48"/>
      <c r="BH24" s="48"/>
      <c r="BI24" s="46"/>
      <c r="BJ24" s="46"/>
      <c r="BK24" s="46"/>
      <c r="BL24" s="46"/>
      <c r="BM24" s="46"/>
      <c r="BN24" s="46"/>
      <c r="BO24" s="46"/>
      <c r="BP24" s="46"/>
      <c r="BQ24" s="46"/>
      <c r="BR24" s="46"/>
      <c r="BS24" s="46"/>
      <c r="BT24" s="46"/>
      <c r="BU24" s="46"/>
      <c r="BV24" s="49"/>
      <c r="BW24" s="49"/>
      <c r="BX24" s="49"/>
      <c r="BY24" s="49"/>
      <c r="BZ24" s="49"/>
      <c r="CA24" s="49"/>
      <c r="CB24" s="49"/>
      <c r="CC24" s="34"/>
      <c r="CD24" s="34"/>
      <c r="CE24" s="34"/>
      <c r="CF24" s="34"/>
      <c r="CG24" s="34"/>
      <c r="CH24" s="34"/>
      <c r="CI24" s="34"/>
      <c r="CJ24" s="34"/>
      <c r="CK24" s="34"/>
      <c r="CL24" s="34"/>
      <c r="CM24" s="58"/>
      <c r="CN24" s="58"/>
      <c r="CO24" s="58"/>
      <c r="CP24" s="58"/>
      <c r="CQ24" s="58"/>
      <c r="CR24" s="58"/>
      <c r="CS24" s="58"/>
      <c r="CT24" s="58"/>
      <c r="CU24" s="34"/>
      <c r="CV24" s="34"/>
      <c r="CW24" s="34"/>
      <c r="CX24" s="34"/>
      <c r="CY24" s="34"/>
      <c r="CZ24" s="34"/>
      <c r="DA24" s="34"/>
      <c r="DB24" s="34"/>
      <c r="DC24" s="34"/>
      <c r="DD24" s="34"/>
      <c r="DE24" s="34"/>
      <c r="DF24" s="34"/>
      <c r="DG24" s="34"/>
      <c r="DH24" s="34"/>
      <c r="DI24" s="34"/>
      <c r="DJ24" s="34"/>
      <c r="DK24" s="34"/>
      <c r="DL24" s="58"/>
    </row>
    <row r="25" spans="2:116" s="5" customFormat="1" ht="18" customHeight="1" x14ac:dyDescent="0.2">
      <c r="B25" s="93">
        <v>1</v>
      </c>
      <c r="C25" s="94"/>
      <c r="D25" s="94">
        <v>1</v>
      </c>
      <c r="E25" s="94"/>
      <c r="F25" s="94"/>
      <c r="G25" s="94"/>
      <c r="H25" s="94"/>
      <c r="I25" s="94"/>
      <c r="J25" s="128">
        <f>$H$10</f>
        <v>0.625</v>
      </c>
      <c r="K25" s="128"/>
      <c r="L25" s="128"/>
      <c r="M25" s="128"/>
      <c r="N25" s="129"/>
      <c r="O25" s="71" t="str">
        <f>P16</f>
        <v>Novexler</v>
      </c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  <c r="AA25" s="72"/>
      <c r="AB25" s="72"/>
      <c r="AC25" s="72"/>
      <c r="AD25" s="72"/>
      <c r="AE25" s="12" t="s">
        <v>19</v>
      </c>
      <c r="AF25" s="72" t="str">
        <f>P17</f>
        <v>Strahm AG</v>
      </c>
      <c r="AG25" s="72"/>
      <c r="AH25" s="72"/>
      <c r="AI25" s="72"/>
      <c r="AJ25" s="72"/>
      <c r="AK25" s="72"/>
      <c r="AL25" s="72"/>
      <c r="AM25" s="72"/>
      <c r="AN25" s="72"/>
      <c r="AO25" s="72"/>
      <c r="AP25" s="72"/>
      <c r="AQ25" s="72"/>
      <c r="AR25" s="72"/>
      <c r="AS25" s="72"/>
      <c r="AT25" s="72"/>
      <c r="AU25" s="72"/>
      <c r="AV25" s="73"/>
      <c r="AW25" s="116"/>
      <c r="AX25" s="117"/>
      <c r="AY25" s="12" t="s">
        <v>18</v>
      </c>
      <c r="AZ25" s="117"/>
      <c r="BA25" s="126"/>
      <c r="BB25" s="116"/>
      <c r="BC25" s="125"/>
      <c r="BE25" s="46"/>
      <c r="BF25" s="50" t="e">
        <f>#N/A</f>
        <v>#N/A</v>
      </c>
      <c r="BG25" s="50" t="s">
        <v>18</v>
      </c>
      <c r="BH25" s="50" t="e">
        <f>#N/A</f>
        <v>#N/A</v>
      </c>
      <c r="BI25" s="46"/>
      <c r="BJ25" s="46"/>
      <c r="BK25" s="46"/>
      <c r="BL25" s="46"/>
      <c r="BM25" s="54" t="str">
        <f>$P$18</f>
        <v>Schreiner Kickers</v>
      </c>
      <c r="BN25" s="52">
        <f>COUNT($BF$26,$BH$28,$BH$30,$BF$32)</f>
        <v>0</v>
      </c>
      <c r="BO25" s="52">
        <f>SUM($BF$26+$BH$28+$BH$30+$BF$32)</f>
        <v>0</v>
      </c>
      <c r="BP25" s="52">
        <f>SUM($AW$26+$AZ$28+$AZ$30+$AW$32)</f>
        <v>0</v>
      </c>
      <c r="BQ25" s="53" t="s">
        <v>18</v>
      </c>
      <c r="BR25" s="52">
        <f>SUM($AZ$26+$AW$28+$AW$30+$AZ$32)</f>
        <v>0</v>
      </c>
      <c r="BS25" s="52">
        <f>SUM(BP25-BR25)</f>
        <v>0</v>
      </c>
      <c r="BT25" s="46"/>
      <c r="BU25" s="46"/>
      <c r="BV25" s="49"/>
      <c r="BW25" s="49"/>
      <c r="BX25" s="49"/>
      <c r="BY25" s="49"/>
      <c r="BZ25" s="49"/>
      <c r="CA25" s="49"/>
      <c r="CB25" s="49"/>
      <c r="CC25" s="35"/>
      <c r="CD25" s="35"/>
      <c r="CE25" s="35"/>
      <c r="CF25" s="35"/>
      <c r="CG25" s="35"/>
      <c r="CH25" s="35"/>
      <c r="CI25" s="35"/>
      <c r="CJ25" s="35"/>
      <c r="CK25" s="35"/>
      <c r="CL25" s="35"/>
      <c r="CU25" s="35"/>
      <c r="CV25" s="35"/>
      <c r="CW25" s="35"/>
      <c r="CX25" s="35"/>
      <c r="CY25" s="35"/>
      <c r="CZ25" s="35"/>
      <c r="DA25" s="35"/>
      <c r="DB25" s="35"/>
      <c r="DC25" s="35"/>
      <c r="DD25" s="35"/>
      <c r="DE25" s="35"/>
      <c r="DF25" s="35"/>
      <c r="DG25" s="35"/>
      <c r="DH25" s="35"/>
      <c r="DI25" s="35"/>
      <c r="DJ25" s="35"/>
      <c r="DK25" s="35"/>
    </row>
    <row r="26" spans="2:116" s="4" customFormat="1" ht="18" customHeight="1" thickBot="1" x14ac:dyDescent="0.25">
      <c r="B26" s="127">
        <v>2</v>
      </c>
      <c r="C26" s="118"/>
      <c r="D26" s="118">
        <v>1</v>
      </c>
      <c r="E26" s="118"/>
      <c r="F26" s="118"/>
      <c r="G26" s="118"/>
      <c r="H26" s="118"/>
      <c r="I26" s="118"/>
      <c r="J26" s="89">
        <f>#N/A</f>
        <v>0.63541666666666663</v>
      </c>
      <c r="K26" s="89"/>
      <c r="L26" s="89"/>
      <c r="M26" s="89"/>
      <c r="N26" s="90"/>
      <c r="O26" s="91" t="str">
        <f>P18</f>
        <v>Schreiner Kickers</v>
      </c>
      <c r="P26" s="92"/>
      <c r="Q26" s="92"/>
      <c r="R26" s="92"/>
      <c r="S26" s="92"/>
      <c r="T26" s="92"/>
      <c r="U26" s="92"/>
      <c r="V26" s="92"/>
      <c r="W26" s="92"/>
      <c r="X26" s="92"/>
      <c r="Y26" s="92"/>
      <c r="Z26" s="92"/>
      <c r="AA26" s="92"/>
      <c r="AB26" s="92"/>
      <c r="AC26" s="92"/>
      <c r="AD26" s="92"/>
      <c r="AE26" s="8" t="s">
        <v>19</v>
      </c>
      <c r="AF26" s="92" t="str">
        <f>P19</f>
        <v>Cheminéeruetene</v>
      </c>
      <c r="AG26" s="92"/>
      <c r="AH26" s="92"/>
      <c r="AI26" s="92"/>
      <c r="AJ26" s="92"/>
      <c r="AK26" s="92"/>
      <c r="AL26" s="92"/>
      <c r="AM26" s="92"/>
      <c r="AN26" s="92"/>
      <c r="AO26" s="92"/>
      <c r="AP26" s="92"/>
      <c r="AQ26" s="92"/>
      <c r="AR26" s="92"/>
      <c r="AS26" s="92"/>
      <c r="AT26" s="92"/>
      <c r="AU26" s="92"/>
      <c r="AV26" s="124"/>
      <c r="AW26" s="114"/>
      <c r="AX26" s="122"/>
      <c r="AY26" s="8" t="s">
        <v>18</v>
      </c>
      <c r="AZ26" s="122"/>
      <c r="BA26" s="123"/>
      <c r="BB26" s="114"/>
      <c r="BC26" s="115"/>
      <c r="BD26" s="58"/>
      <c r="BE26" s="46"/>
      <c r="BF26" s="50" t="str">
        <f>#N/A</f>
        <v>0</v>
      </c>
      <c r="BG26" s="50" t="s">
        <v>18</v>
      </c>
      <c r="BH26" s="50" t="str">
        <f>#N/A</f>
        <v>0</v>
      </c>
      <c r="BI26" s="46"/>
      <c r="BJ26" s="46"/>
      <c r="BK26" s="46"/>
      <c r="BL26" s="46"/>
      <c r="BM26" s="54" t="str">
        <f>$P$19</f>
        <v>Cheminéeruetene</v>
      </c>
      <c r="BN26" s="52">
        <f>COUNT($BH$26,$BF$29,$BH$31,$BF$33)</f>
        <v>0</v>
      </c>
      <c r="BO26" s="52">
        <f>SUM($BH$26+$BF$29+$BH$31+$BF$33)</f>
        <v>0</v>
      </c>
      <c r="BP26" s="52">
        <f>SUM($AZ$26+$AW$29+$AZ$31+$AW$33)</f>
        <v>0</v>
      </c>
      <c r="BQ26" s="53" t="s">
        <v>18</v>
      </c>
      <c r="BR26" s="52">
        <f>SUM($AW$26+$AZ$29+$AW$31+$AZ$33)</f>
        <v>0</v>
      </c>
      <c r="BS26" s="52">
        <f>SUM(BP26-BR26)</f>
        <v>0</v>
      </c>
      <c r="BT26" s="46"/>
      <c r="BU26" s="46"/>
      <c r="BV26" s="49"/>
      <c r="BW26" s="49"/>
      <c r="BX26" s="49"/>
      <c r="BY26" s="49"/>
      <c r="BZ26" s="49"/>
      <c r="CA26" s="49"/>
      <c r="CB26" s="49"/>
      <c r="CC26" s="34"/>
      <c r="CD26" s="34"/>
      <c r="CE26" s="34"/>
      <c r="CF26" s="34"/>
      <c r="CG26" s="34"/>
      <c r="CH26" s="34"/>
      <c r="CI26" s="34"/>
      <c r="CJ26" s="34"/>
      <c r="CK26" s="34"/>
      <c r="CL26" s="34"/>
      <c r="CM26" s="58"/>
      <c r="CN26" s="58"/>
      <c r="CO26" s="58"/>
      <c r="CP26" s="58"/>
      <c r="CQ26" s="58"/>
      <c r="CR26" s="58"/>
      <c r="CS26" s="58"/>
      <c r="CT26" s="58"/>
      <c r="CU26" s="34"/>
      <c r="CV26" s="34"/>
      <c r="CW26" s="34"/>
      <c r="CX26" s="34"/>
      <c r="CY26" s="34"/>
      <c r="CZ26" s="34"/>
      <c r="DA26" s="34"/>
      <c r="DB26" s="34"/>
      <c r="DC26" s="34"/>
      <c r="DD26" s="34"/>
      <c r="DE26" s="34"/>
      <c r="DF26" s="34"/>
      <c r="DG26" s="34"/>
      <c r="DH26" s="34"/>
      <c r="DI26" s="34"/>
      <c r="DJ26" s="34"/>
      <c r="DK26" s="34"/>
      <c r="DL26" s="58"/>
    </row>
    <row r="27" spans="2:116" s="4" customFormat="1" ht="18" customHeight="1" x14ac:dyDescent="0.2">
      <c r="B27" s="93">
        <v>3</v>
      </c>
      <c r="C27" s="94"/>
      <c r="D27" s="94">
        <v>1</v>
      </c>
      <c r="E27" s="94"/>
      <c r="F27" s="94"/>
      <c r="G27" s="94"/>
      <c r="H27" s="94"/>
      <c r="I27" s="94"/>
      <c r="J27" s="74">
        <f>#N/A</f>
        <v>0.64583333333333326</v>
      </c>
      <c r="K27" s="74"/>
      <c r="L27" s="74"/>
      <c r="M27" s="74"/>
      <c r="N27" s="75"/>
      <c r="O27" s="71" t="str">
        <f>P20</f>
        <v>Kraft am Werk</v>
      </c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  <c r="AA27" s="72"/>
      <c r="AB27" s="72"/>
      <c r="AC27" s="72"/>
      <c r="AD27" s="72"/>
      <c r="AE27" s="12" t="s">
        <v>19</v>
      </c>
      <c r="AF27" s="72" t="str">
        <f>P16</f>
        <v>Novexler</v>
      </c>
      <c r="AG27" s="72"/>
      <c r="AH27" s="72"/>
      <c r="AI27" s="72"/>
      <c r="AJ27" s="72"/>
      <c r="AK27" s="72"/>
      <c r="AL27" s="72"/>
      <c r="AM27" s="72"/>
      <c r="AN27" s="72"/>
      <c r="AO27" s="72"/>
      <c r="AP27" s="72"/>
      <c r="AQ27" s="72"/>
      <c r="AR27" s="72"/>
      <c r="AS27" s="72"/>
      <c r="AT27" s="72"/>
      <c r="AU27" s="72"/>
      <c r="AV27" s="73"/>
      <c r="AW27" s="116"/>
      <c r="AX27" s="117"/>
      <c r="AY27" s="12" t="s">
        <v>18</v>
      </c>
      <c r="AZ27" s="117"/>
      <c r="BA27" s="126"/>
      <c r="BB27" s="116"/>
      <c r="BC27" s="125"/>
      <c r="BD27" s="58"/>
      <c r="BE27" s="46"/>
      <c r="BF27" s="50" t="str">
        <f>#N/A</f>
        <v>0</v>
      </c>
      <c r="BG27" s="50" t="s">
        <v>18</v>
      </c>
      <c r="BH27" s="50" t="str">
        <f>#N/A</f>
        <v>0</v>
      </c>
      <c r="BI27" s="46"/>
      <c r="BJ27" s="46"/>
      <c r="BK27" s="46"/>
      <c r="BL27" s="46"/>
      <c r="BM27" s="54" t="str">
        <f>$P$17</f>
        <v>Strahm AG</v>
      </c>
      <c r="BN27" s="52">
        <f>COUNT($BH$25,$BF$28,$BF$31,$BH$34)</f>
        <v>0</v>
      </c>
      <c r="BO27" s="52">
        <f>SUM($BH$25+$BF$28+$BF$31+$BH$34)</f>
        <v>0</v>
      </c>
      <c r="BP27" s="52">
        <f>SUM($AZ$25+$AW$28+$AW$31+$AZ$34)</f>
        <v>0</v>
      </c>
      <c r="BQ27" s="53" t="s">
        <v>18</v>
      </c>
      <c r="BR27" s="52">
        <f>SUM($AW$25+$AZ$28+$AZ$31+$AW$34)</f>
        <v>0</v>
      </c>
      <c r="BS27" s="52">
        <f>SUM(BP27-BR27)</f>
        <v>0</v>
      </c>
      <c r="BT27" s="46"/>
      <c r="BU27" s="46"/>
      <c r="BV27" s="49"/>
      <c r="BW27" s="49"/>
      <c r="BX27" s="49"/>
      <c r="BY27" s="49"/>
      <c r="BZ27" s="49"/>
      <c r="CA27" s="49"/>
      <c r="CB27" s="49"/>
      <c r="CC27" s="34"/>
      <c r="CD27" s="34"/>
      <c r="CE27" s="34"/>
      <c r="CF27" s="34"/>
      <c r="CG27" s="34"/>
      <c r="CH27" s="34"/>
      <c r="CI27" s="34"/>
      <c r="CJ27" s="34"/>
      <c r="CK27" s="34"/>
      <c r="CL27" s="34"/>
      <c r="CM27" s="58"/>
      <c r="CN27" s="58"/>
      <c r="CO27" s="58"/>
      <c r="CP27" s="58"/>
      <c r="CQ27" s="58"/>
      <c r="CR27" s="58"/>
      <c r="CS27" s="58"/>
      <c r="CT27" s="58"/>
      <c r="CU27" s="34"/>
      <c r="CV27" s="34"/>
      <c r="CW27" s="34"/>
      <c r="CX27" s="34"/>
      <c r="CY27" s="34"/>
      <c r="CZ27" s="34"/>
      <c r="DA27" s="34"/>
      <c r="DB27" s="34"/>
      <c r="DC27" s="34"/>
      <c r="DD27" s="34"/>
      <c r="DE27" s="34"/>
      <c r="DF27" s="34"/>
      <c r="DG27" s="34"/>
      <c r="DH27" s="34"/>
      <c r="DI27" s="34"/>
      <c r="DJ27" s="34"/>
      <c r="DK27" s="34"/>
      <c r="DL27" s="58"/>
    </row>
    <row r="28" spans="2:116" s="4" customFormat="1" ht="18" customHeight="1" thickBot="1" x14ac:dyDescent="0.25">
      <c r="B28" s="127">
        <v>4</v>
      </c>
      <c r="C28" s="118"/>
      <c r="D28" s="118">
        <v>1</v>
      </c>
      <c r="E28" s="118"/>
      <c r="F28" s="118"/>
      <c r="G28" s="118"/>
      <c r="H28" s="118"/>
      <c r="I28" s="118"/>
      <c r="J28" s="89">
        <f>#N/A</f>
        <v>0.65624999999999989</v>
      </c>
      <c r="K28" s="89"/>
      <c r="L28" s="89"/>
      <c r="M28" s="89"/>
      <c r="N28" s="90"/>
      <c r="O28" s="91" t="str">
        <f>P17</f>
        <v>Strahm AG</v>
      </c>
      <c r="P28" s="92"/>
      <c r="Q28" s="92"/>
      <c r="R28" s="92"/>
      <c r="S28" s="92"/>
      <c r="T28" s="92"/>
      <c r="U28" s="92"/>
      <c r="V28" s="92"/>
      <c r="W28" s="92"/>
      <c r="X28" s="92"/>
      <c r="Y28" s="92"/>
      <c r="Z28" s="92"/>
      <c r="AA28" s="92"/>
      <c r="AB28" s="92"/>
      <c r="AC28" s="92"/>
      <c r="AD28" s="92"/>
      <c r="AE28" s="8" t="s">
        <v>19</v>
      </c>
      <c r="AF28" s="92" t="str">
        <f>P18</f>
        <v>Schreiner Kickers</v>
      </c>
      <c r="AG28" s="92"/>
      <c r="AH28" s="92"/>
      <c r="AI28" s="92"/>
      <c r="AJ28" s="92"/>
      <c r="AK28" s="92"/>
      <c r="AL28" s="92"/>
      <c r="AM28" s="92"/>
      <c r="AN28" s="92"/>
      <c r="AO28" s="92"/>
      <c r="AP28" s="92"/>
      <c r="AQ28" s="92"/>
      <c r="AR28" s="92"/>
      <c r="AS28" s="92"/>
      <c r="AT28" s="92"/>
      <c r="AU28" s="92"/>
      <c r="AV28" s="124"/>
      <c r="AW28" s="114"/>
      <c r="AX28" s="122"/>
      <c r="AY28" s="8" t="s">
        <v>18</v>
      </c>
      <c r="AZ28" s="122"/>
      <c r="BA28" s="123"/>
      <c r="BB28" s="114"/>
      <c r="BC28" s="115"/>
      <c r="BD28" s="58"/>
      <c r="BE28" s="46"/>
      <c r="BF28" s="50" t="str">
        <f>#N/A</f>
        <v>0</v>
      </c>
      <c r="BG28" s="50" t="s">
        <v>18</v>
      </c>
      <c r="BH28" s="50" t="str">
        <f>#N/A</f>
        <v>0</v>
      </c>
      <c r="BI28" s="46"/>
      <c r="BJ28" s="46"/>
      <c r="BK28" s="46"/>
      <c r="BL28" s="46"/>
      <c r="BM28" s="54" t="str">
        <f>$P$20</f>
        <v>Kraft am Werk</v>
      </c>
      <c r="BN28" s="52">
        <f>COUNT($BF$27,$BH$29,$BH$32,$BF$34)</f>
        <v>0</v>
      </c>
      <c r="BO28" s="52">
        <f>SUM($BF$27+$BH$29+$BH$32+$BF$34)</f>
        <v>0</v>
      </c>
      <c r="BP28" s="52">
        <f>SUM($AW$27+$AZ$29+$AZ$32+$AW$34)</f>
        <v>0</v>
      </c>
      <c r="BQ28" s="53" t="s">
        <v>18</v>
      </c>
      <c r="BR28" s="52">
        <f>SUM($AZ$27+$AW$29+$AW$32+$AZ$34)</f>
        <v>0</v>
      </c>
      <c r="BS28" s="52">
        <f>SUM(BP28-BR28)</f>
        <v>0</v>
      </c>
      <c r="BT28" s="46"/>
      <c r="BU28" s="46"/>
      <c r="BV28" s="49"/>
      <c r="BW28" s="49"/>
      <c r="BX28" s="49"/>
      <c r="BY28" s="49"/>
      <c r="BZ28" s="49"/>
      <c r="CA28" s="49"/>
      <c r="CB28" s="49"/>
      <c r="CC28" s="34"/>
      <c r="CD28" s="34"/>
      <c r="CE28" s="34"/>
      <c r="CF28" s="34"/>
      <c r="CG28" s="34"/>
      <c r="CH28" s="34"/>
      <c r="CI28" s="34"/>
      <c r="CJ28" s="34"/>
      <c r="CK28" s="34"/>
      <c r="CL28" s="34"/>
      <c r="CM28" s="58"/>
      <c r="CN28" s="58"/>
      <c r="CO28" s="58"/>
      <c r="CP28" s="58"/>
      <c r="CQ28" s="58"/>
      <c r="CR28" s="58"/>
      <c r="CS28" s="58"/>
      <c r="CT28" s="58"/>
      <c r="CU28" s="34"/>
      <c r="CV28" s="34"/>
      <c r="CW28" s="34"/>
      <c r="CX28" s="34"/>
      <c r="CY28" s="34"/>
      <c r="CZ28" s="34"/>
      <c r="DA28" s="34"/>
      <c r="DB28" s="34"/>
      <c r="DC28" s="34"/>
      <c r="DD28" s="34"/>
      <c r="DE28" s="34"/>
      <c r="DF28" s="34"/>
      <c r="DG28" s="34"/>
      <c r="DH28" s="34"/>
      <c r="DI28" s="34"/>
      <c r="DJ28" s="34"/>
      <c r="DK28" s="34"/>
      <c r="DL28" s="58"/>
    </row>
    <row r="29" spans="2:116" s="4" customFormat="1" ht="18" customHeight="1" x14ac:dyDescent="0.2">
      <c r="B29" s="93">
        <v>5</v>
      </c>
      <c r="C29" s="94"/>
      <c r="D29" s="94">
        <v>1</v>
      </c>
      <c r="E29" s="94"/>
      <c r="F29" s="94"/>
      <c r="G29" s="94"/>
      <c r="H29" s="94"/>
      <c r="I29" s="94"/>
      <c r="J29" s="74">
        <f>#N/A</f>
        <v>0.66666666666666652</v>
      </c>
      <c r="K29" s="74"/>
      <c r="L29" s="74"/>
      <c r="M29" s="74"/>
      <c r="N29" s="75"/>
      <c r="O29" s="71" t="str">
        <f>P19</f>
        <v>Cheminéeruetene</v>
      </c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  <c r="AA29" s="72"/>
      <c r="AB29" s="72"/>
      <c r="AC29" s="72"/>
      <c r="AD29" s="72"/>
      <c r="AE29" s="12" t="s">
        <v>19</v>
      </c>
      <c r="AF29" s="72" t="str">
        <f>P20</f>
        <v>Kraft am Werk</v>
      </c>
      <c r="AG29" s="72"/>
      <c r="AH29" s="72"/>
      <c r="AI29" s="72"/>
      <c r="AJ29" s="72"/>
      <c r="AK29" s="72"/>
      <c r="AL29" s="72"/>
      <c r="AM29" s="72"/>
      <c r="AN29" s="72"/>
      <c r="AO29" s="72"/>
      <c r="AP29" s="72"/>
      <c r="AQ29" s="72"/>
      <c r="AR29" s="72"/>
      <c r="AS29" s="72"/>
      <c r="AT29" s="72"/>
      <c r="AU29" s="72"/>
      <c r="AV29" s="73"/>
      <c r="AW29" s="116"/>
      <c r="AX29" s="117"/>
      <c r="AY29" s="12" t="s">
        <v>18</v>
      </c>
      <c r="AZ29" s="117"/>
      <c r="BA29" s="126"/>
      <c r="BB29" s="116"/>
      <c r="BC29" s="125"/>
      <c r="BD29" s="58"/>
      <c r="BE29" s="46"/>
      <c r="BF29" s="50" t="str">
        <f>#N/A</f>
        <v>0</v>
      </c>
      <c r="BG29" s="50" t="s">
        <v>18</v>
      </c>
      <c r="BH29" s="50" t="str">
        <f>#N/A</f>
        <v>0</v>
      </c>
      <c r="BI29" s="46"/>
      <c r="BJ29" s="46"/>
      <c r="BK29" s="46"/>
      <c r="BL29" s="46"/>
      <c r="BM29" s="51" t="str">
        <f>$P$16</f>
        <v>Novexler</v>
      </c>
      <c r="BN29" s="52">
        <f>COUNT($BF$25,$BH$27,$BF$30,$BH$33)</f>
        <v>0</v>
      </c>
      <c r="BO29" s="52">
        <f>SUM($BF$25+$BH$27+$BF$30+$BH$33)</f>
        <v>0</v>
      </c>
      <c r="BP29" s="52">
        <f>SUM($AW$25+$AZ$27+$AW$30+$AZ$33)</f>
        <v>0</v>
      </c>
      <c r="BQ29" s="53" t="s">
        <v>18</v>
      </c>
      <c r="BR29" s="52">
        <f>SUM($AZ$25+$AW$27+$AZ$30+$AW$33)</f>
        <v>0</v>
      </c>
      <c r="BS29" s="52">
        <f>SUM(BP29-BR29)</f>
        <v>0</v>
      </c>
      <c r="BT29" s="46"/>
      <c r="BU29" s="46"/>
      <c r="BV29" s="49"/>
      <c r="BW29" s="49"/>
      <c r="BX29" s="49"/>
      <c r="BY29" s="49"/>
      <c r="BZ29" s="49"/>
      <c r="CA29" s="49"/>
      <c r="CB29" s="49"/>
      <c r="CC29" s="34"/>
      <c r="CD29" s="34"/>
      <c r="CE29" s="34"/>
      <c r="CF29" s="34"/>
      <c r="CG29" s="34"/>
      <c r="CH29" s="34"/>
      <c r="CI29" s="34"/>
      <c r="CJ29" s="34"/>
      <c r="CK29" s="34"/>
      <c r="CL29" s="34"/>
      <c r="CM29" s="58"/>
      <c r="CN29" s="58"/>
      <c r="CO29" s="58"/>
      <c r="CP29" s="58"/>
      <c r="CQ29" s="58"/>
      <c r="CR29" s="58"/>
      <c r="CS29" s="58"/>
      <c r="CT29" s="58"/>
      <c r="CU29" s="34"/>
      <c r="CV29" s="34"/>
      <c r="CW29" s="34"/>
      <c r="CX29" s="34"/>
      <c r="CY29" s="34"/>
      <c r="CZ29" s="34"/>
      <c r="DA29" s="34"/>
      <c r="DB29" s="34"/>
      <c r="DC29" s="34"/>
      <c r="DD29" s="34"/>
      <c r="DE29" s="34"/>
      <c r="DF29" s="34"/>
      <c r="DG29" s="34"/>
      <c r="DH29" s="34"/>
      <c r="DI29" s="34"/>
      <c r="DJ29" s="34"/>
      <c r="DK29" s="34"/>
      <c r="DL29" s="58"/>
    </row>
    <row r="30" spans="2:116" s="4" customFormat="1" ht="18" customHeight="1" thickBot="1" x14ac:dyDescent="0.25">
      <c r="B30" s="127">
        <v>6</v>
      </c>
      <c r="C30" s="118"/>
      <c r="D30" s="118">
        <v>1</v>
      </c>
      <c r="E30" s="118"/>
      <c r="F30" s="118"/>
      <c r="G30" s="118"/>
      <c r="H30" s="118"/>
      <c r="I30" s="118"/>
      <c r="J30" s="89">
        <f>#N/A</f>
        <v>0.67708333333333315</v>
      </c>
      <c r="K30" s="89"/>
      <c r="L30" s="89"/>
      <c r="M30" s="89"/>
      <c r="N30" s="90"/>
      <c r="O30" s="91" t="str">
        <f>P16</f>
        <v>Novexler</v>
      </c>
      <c r="P30" s="92"/>
      <c r="Q30" s="92"/>
      <c r="R30" s="92"/>
      <c r="S30" s="92"/>
      <c r="T30" s="92"/>
      <c r="U30" s="92"/>
      <c r="V30" s="92"/>
      <c r="W30" s="92"/>
      <c r="X30" s="92"/>
      <c r="Y30" s="92"/>
      <c r="Z30" s="92"/>
      <c r="AA30" s="92"/>
      <c r="AB30" s="92"/>
      <c r="AC30" s="92"/>
      <c r="AD30" s="92"/>
      <c r="AE30" s="8" t="s">
        <v>19</v>
      </c>
      <c r="AF30" s="92" t="str">
        <f>P18</f>
        <v>Schreiner Kickers</v>
      </c>
      <c r="AG30" s="92"/>
      <c r="AH30" s="92"/>
      <c r="AI30" s="92"/>
      <c r="AJ30" s="92"/>
      <c r="AK30" s="92"/>
      <c r="AL30" s="92"/>
      <c r="AM30" s="92"/>
      <c r="AN30" s="92"/>
      <c r="AO30" s="92"/>
      <c r="AP30" s="92"/>
      <c r="AQ30" s="92"/>
      <c r="AR30" s="92"/>
      <c r="AS30" s="92"/>
      <c r="AT30" s="92"/>
      <c r="AU30" s="92"/>
      <c r="AV30" s="124"/>
      <c r="AW30" s="114"/>
      <c r="AX30" s="122"/>
      <c r="AY30" s="8" t="s">
        <v>18</v>
      </c>
      <c r="AZ30" s="122"/>
      <c r="BA30" s="123"/>
      <c r="BB30" s="114"/>
      <c r="BC30" s="115"/>
      <c r="BD30" s="58"/>
      <c r="BE30" s="46"/>
      <c r="BF30" s="50" t="str">
        <f>#N/A</f>
        <v>0</v>
      </c>
      <c r="BG30" s="50" t="s">
        <v>18</v>
      </c>
      <c r="BH30" s="50" t="str">
        <f>#N/A</f>
        <v>0</v>
      </c>
      <c r="BI30" s="46"/>
      <c r="BJ30" s="46"/>
      <c r="BK30" s="40"/>
      <c r="BL30" s="40"/>
      <c r="BM30" s="40"/>
      <c r="BN30" s="40"/>
      <c r="BO30" s="40"/>
      <c r="BP30" s="40"/>
      <c r="BQ30" s="40"/>
      <c r="BR30" s="40"/>
      <c r="BS30" s="40"/>
      <c r="BT30" s="46"/>
      <c r="BU30" s="46"/>
      <c r="BV30" s="49"/>
      <c r="BW30" s="49"/>
      <c r="BX30" s="49"/>
      <c r="BY30" s="49"/>
      <c r="BZ30" s="49"/>
      <c r="CA30" s="49"/>
      <c r="CB30" s="49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58"/>
      <c r="CN30" s="58"/>
      <c r="CO30" s="58"/>
      <c r="CP30" s="58"/>
      <c r="CQ30" s="58"/>
      <c r="CR30" s="58"/>
      <c r="CS30" s="58"/>
      <c r="CT30" s="58"/>
      <c r="CU30" s="34"/>
      <c r="CV30" s="34"/>
      <c r="CW30" s="34"/>
      <c r="CX30" s="34"/>
      <c r="CY30" s="34"/>
      <c r="CZ30" s="34"/>
      <c r="DA30" s="34"/>
      <c r="DB30" s="34"/>
      <c r="DC30" s="34"/>
      <c r="DD30" s="34"/>
      <c r="DE30" s="34"/>
      <c r="DF30" s="34"/>
      <c r="DG30" s="34"/>
      <c r="DH30" s="34"/>
      <c r="DI30" s="34"/>
      <c r="DJ30" s="34"/>
      <c r="DK30" s="34"/>
      <c r="DL30" s="58"/>
    </row>
    <row r="31" spans="2:116" s="4" customFormat="1" ht="18" customHeight="1" x14ac:dyDescent="0.2">
      <c r="B31" s="93">
        <v>7</v>
      </c>
      <c r="C31" s="94"/>
      <c r="D31" s="94">
        <v>1</v>
      </c>
      <c r="E31" s="94"/>
      <c r="F31" s="94"/>
      <c r="G31" s="94"/>
      <c r="H31" s="94"/>
      <c r="I31" s="94"/>
      <c r="J31" s="74">
        <f>#N/A</f>
        <v>0.68749999999999978</v>
      </c>
      <c r="K31" s="74"/>
      <c r="L31" s="74"/>
      <c r="M31" s="74"/>
      <c r="N31" s="75"/>
      <c r="O31" s="71" t="str">
        <f>P17</f>
        <v>Strahm AG</v>
      </c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  <c r="AA31" s="72"/>
      <c r="AB31" s="72"/>
      <c r="AC31" s="72"/>
      <c r="AD31" s="72"/>
      <c r="AE31" s="12" t="s">
        <v>19</v>
      </c>
      <c r="AF31" s="72" t="str">
        <f>P19</f>
        <v>Cheminéeruetene</v>
      </c>
      <c r="AG31" s="72"/>
      <c r="AH31" s="72"/>
      <c r="AI31" s="72"/>
      <c r="AJ31" s="72"/>
      <c r="AK31" s="72"/>
      <c r="AL31" s="72"/>
      <c r="AM31" s="72"/>
      <c r="AN31" s="72"/>
      <c r="AO31" s="72"/>
      <c r="AP31" s="72"/>
      <c r="AQ31" s="72"/>
      <c r="AR31" s="72"/>
      <c r="AS31" s="72"/>
      <c r="AT31" s="72"/>
      <c r="AU31" s="72"/>
      <c r="AV31" s="73"/>
      <c r="AW31" s="116"/>
      <c r="AX31" s="117"/>
      <c r="AY31" s="12" t="s">
        <v>18</v>
      </c>
      <c r="AZ31" s="117"/>
      <c r="BA31" s="126"/>
      <c r="BB31" s="116"/>
      <c r="BC31" s="125"/>
      <c r="BD31" s="13"/>
      <c r="BE31" s="46"/>
      <c r="BF31" s="50" t="str">
        <f>#N/A</f>
        <v>0</v>
      </c>
      <c r="BG31" s="50" t="s">
        <v>18</v>
      </c>
      <c r="BH31" s="50" t="str">
        <f>#N/A</f>
        <v>0</v>
      </c>
      <c r="BI31" s="46"/>
      <c r="BJ31" s="46"/>
      <c r="BK31" s="55"/>
      <c r="BL31" s="55"/>
      <c r="BM31" s="34"/>
      <c r="BN31" s="34"/>
      <c r="BO31" s="34"/>
      <c r="BP31" s="34"/>
      <c r="BQ31" s="34"/>
      <c r="BR31" s="34"/>
      <c r="BS31" s="52"/>
      <c r="BT31" s="46"/>
      <c r="BU31" s="46"/>
      <c r="BV31" s="49"/>
      <c r="BW31" s="49"/>
      <c r="BX31" s="49"/>
      <c r="BY31" s="49"/>
      <c r="BZ31" s="49"/>
      <c r="CA31" s="49"/>
      <c r="CB31" s="49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58"/>
      <c r="CN31" s="58"/>
      <c r="CO31" s="58"/>
      <c r="CP31" s="58"/>
      <c r="CQ31" s="58"/>
      <c r="CR31" s="58"/>
      <c r="CS31" s="58"/>
      <c r="CT31" s="58"/>
      <c r="CU31" s="34"/>
      <c r="CV31" s="34"/>
      <c r="CW31" s="34"/>
      <c r="CX31" s="34"/>
      <c r="CY31" s="34"/>
      <c r="CZ31" s="34"/>
      <c r="DA31" s="34"/>
      <c r="DB31" s="34"/>
      <c r="DC31" s="34"/>
      <c r="DD31" s="34"/>
      <c r="DE31" s="34"/>
      <c r="DF31" s="34"/>
      <c r="DG31" s="34"/>
      <c r="DH31" s="34"/>
      <c r="DI31" s="34"/>
      <c r="DJ31" s="34"/>
      <c r="DK31" s="34"/>
      <c r="DL31" s="58"/>
    </row>
    <row r="32" spans="2:116" s="4" customFormat="1" ht="18" customHeight="1" thickBot="1" x14ac:dyDescent="0.25">
      <c r="B32" s="127">
        <v>8</v>
      </c>
      <c r="C32" s="118"/>
      <c r="D32" s="118">
        <v>1</v>
      </c>
      <c r="E32" s="118"/>
      <c r="F32" s="118"/>
      <c r="G32" s="118"/>
      <c r="H32" s="118"/>
      <c r="I32" s="118"/>
      <c r="J32" s="89">
        <f>#N/A</f>
        <v>0.69791666666666641</v>
      </c>
      <c r="K32" s="89"/>
      <c r="L32" s="89"/>
      <c r="M32" s="89"/>
      <c r="N32" s="90"/>
      <c r="O32" s="91" t="str">
        <f>P18</f>
        <v>Schreiner Kickers</v>
      </c>
      <c r="P32" s="92"/>
      <c r="Q32" s="92"/>
      <c r="R32" s="92"/>
      <c r="S32" s="92"/>
      <c r="T32" s="92"/>
      <c r="U32" s="92"/>
      <c r="V32" s="92"/>
      <c r="W32" s="92"/>
      <c r="X32" s="92"/>
      <c r="Y32" s="92"/>
      <c r="Z32" s="92"/>
      <c r="AA32" s="92"/>
      <c r="AB32" s="92"/>
      <c r="AC32" s="92"/>
      <c r="AD32" s="92"/>
      <c r="AE32" s="8" t="s">
        <v>19</v>
      </c>
      <c r="AF32" s="92" t="str">
        <f>P20</f>
        <v>Kraft am Werk</v>
      </c>
      <c r="AG32" s="92"/>
      <c r="AH32" s="92"/>
      <c r="AI32" s="92"/>
      <c r="AJ32" s="92"/>
      <c r="AK32" s="92"/>
      <c r="AL32" s="92"/>
      <c r="AM32" s="92"/>
      <c r="AN32" s="92"/>
      <c r="AO32" s="92"/>
      <c r="AP32" s="92"/>
      <c r="AQ32" s="92"/>
      <c r="AR32" s="92"/>
      <c r="AS32" s="92"/>
      <c r="AT32" s="92"/>
      <c r="AU32" s="92"/>
      <c r="AV32" s="124"/>
      <c r="AW32" s="114"/>
      <c r="AX32" s="122"/>
      <c r="AY32" s="8" t="s">
        <v>18</v>
      </c>
      <c r="AZ32" s="122"/>
      <c r="BA32" s="123"/>
      <c r="BB32" s="114"/>
      <c r="BC32" s="115"/>
      <c r="BD32" s="13"/>
      <c r="BE32" s="46"/>
      <c r="BF32" s="50" t="str">
        <f>#N/A</f>
        <v>0</v>
      </c>
      <c r="BG32" s="50" t="s">
        <v>18</v>
      </c>
      <c r="BH32" s="50" t="str">
        <f>#N/A</f>
        <v>0</v>
      </c>
      <c r="BI32" s="46"/>
      <c r="BJ32" s="46"/>
      <c r="BK32" s="55"/>
      <c r="BL32" s="55"/>
      <c r="BM32" s="34"/>
      <c r="BN32" s="34"/>
      <c r="BO32" s="34"/>
      <c r="BP32" s="34"/>
      <c r="BQ32" s="34"/>
      <c r="BR32" s="34"/>
      <c r="BS32" s="52"/>
      <c r="BT32" s="46"/>
      <c r="BU32" s="46"/>
      <c r="BV32" s="49"/>
      <c r="BW32" s="49"/>
      <c r="BX32" s="49"/>
      <c r="BY32" s="49"/>
      <c r="BZ32" s="49"/>
      <c r="CA32" s="49"/>
      <c r="CB32" s="49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58"/>
      <c r="CN32" s="58"/>
      <c r="CO32" s="58"/>
      <c r="CP32" s="58"/>
      <c r="CQ32" s="58"/>
      <c r="CR32" s="58"/>
      <c r="CS32" s="58"/>
      <c r="CT32" s="58"/>
      <c r="CU32" s="34"/>
      <c r="CV32" s="34"/>
      <c r="CW32" s="34"/>
      <c r="CX32" s="34"/>
      <c r="CY32" s="34"/>
      <c r="CZ32" s="34"/>
      <c r="DA32" s="34"/>
      <c r="DB32" s="34"/>
      <c r="DC32" s="34"/>
      <c r="DD32" s="34"/>
      <c r="DE32" s="34"/>
      <c r="DF32" s="34"/>
      <c r="DG32" s="34"/>
      <c r="DH32" s="34"/>
      <c r="DI32" s="34"/>
      <c r="DJ32" s="34"/>
      <c r="DK32" s="34"/>
      <c r="DL32" s="58"/>
    </row>
    <row r="33" spans="2:116" s="4" customFormat="1" ht="18" customHeight="1" x14ac:dyDescent="0.2">
      <c r="B33" s="93">
        <v>9</v>
      </c>
      <c r="C33" s="94"/>
      <c r="D33" s="94">
        <v>1</v>
      </c>
      <c r="E33" s="94"/>
      <c r="F33" s="94"/>
      <c r="G33" s="94"/>
      <c r="H33" s="94"/>
      <c r="I33" s="94"/>
      <c r="J33" s="74">
        <f>#N/A</f>
        <v>0.70833333333333304</v>
      </c>
      <c r="K33" s="74"/>
      <c r="L33" s="74"/>
      <c r="M33" s="74"/>
      <c r="N33" s="75"/>
      <c r="O33" s="71" t="str">
        <f>P19</f>
        <v>Cheminéeruetene</v>
      </c>
      <c r="P33" s="72"/>
      <c r="Q33" s="72"/>
      <c r="R33" s="72"/>
      <c r="S33" s="72"/>
      <c r="T33" s="72"/>
      <c r="U33" s="72"/>
      <c r="V33" s="72"/>
      <c r="W33" s="72"/>
      <c r="X33" s="72"/>
      <c r="Y33" s="72"/>
      <c r="Z33" s="72"/>
      <c r="AA33" s="72"/>
      <c r="AB33" s="72"/>
      <c r="AC33" s="72"/>
      <c r="AD33" s="72"/>
      <c r="AE33" s="12" t="s">
        <v>19</v>
      </c>
      <c r="AF33" s="72" t="str">
        <f>P16</f>
        <v>Novexler</v>
      </c>
      <c r="AG33" s="72"/>
      <c r="AH33" s="72"/>
      <c r="AI33" s="72"/>
      <c r="AJ33" s="72"/>
      <c r="AK33" s="72"/>
      <c r="AL33" s="72"/>
      <c r="AM33" s="72"/>
      <c r="AN33" s="72"/>
      <c r="AO33" s="72"/>
      <c r="AP33" s="72"/>
      <c r="AQ33" s="72"/>
      <c r="AR33" s="72"/>
      <c r="AS33" s="72"/>
      <c r="AT33" s="72"/>
      <c r="AU33" s="72"/>
      <c r="AV33" s="73"/>
      <c r="AW33" s="116"/>
      <c r="AX33" s="117"/>
      <c r="AY33" s="12" t="s">
        <v>18</v>
      </c>
      <c r="AZ33" s="117"/>
      <c r="BA33" s="126"/>
      <c r="BB33" s="116"/>
      <c r="BC33" s="125"/>
      <c r="BD33" s="13"/>
      <c r="BE33" s="46"/>
      <c r="BF33" s="50" t="str">
        <f>#N/A</f>
        <v>0</v>
      </c>
      <c r="BG33" s="50" t="s">
        <v>18</v>
      </c>
      <c r="BH33" s="50" t="str">
        <f>#N/A</f>
        <v>0</v>
      </c>
      <c r="BI33" s="46"/>
      <c r="BJ33" s="46"/>
      <c r="BK33" s="55"/>
      <c r="BL33" s="55"/>
      <c r="BM33" s="34"/>
      <c r="BN33" s="34"/>
      <c r="BO33" s="34"/>
      <c r="BP33" s="34"/>
      <c r="BQ33" s="34"/>
      <c r="BR33" s="34"/>
      <c r="BS33" s="52"/>
      <c r="BT33" s="46"/>
      <c r="BU33" s="46"/>
      <c r="BV33" s="49"/>
      <c r="BW33" s="49"/>
      <c r="BX33" s="49"/>
      <c r="BY33" s="49"/>
      <c r="BZ33" s="49"/>
      <c r="CA33" s="49"/>
      <c r="CB33" s="49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58"/>
      <c r="CN33" s="58"/>
      <c r="CO33" s="58"/>
      <c r="CP33" s="58"/>
      <c r="CQ33" s="58"/>
      <c r="CR33" s="58"/>
      <c r="CS33" s="58"/>
      <c r="CT33" s="58"/>
      <c r="CU33" s="34"/>
      <c r="CV33" s="34"/>
      <c r="CW33" s="34"/>
      <c r="CX33" s="34"/>
      <c r="CY33" s="34"/>
      <c r="CZ33" s="34"/>
      <c r="DA33" s="34"/>
      <c r="DB33" s="34"/>
      <c r="DC33" s="34"/>
      <c r="DD33" s="34"/>
      <c r="DE33" s="34"/>
      <c r="DF33" s="34"/>
      <c r="DG33" s="34"/>
      <c r="DH33" s="34"/>
      <c r="DI33" s="34"/>
      <c r="DJ33" s="34"/>
      <c r="DK33" s="34"/>
      <c r="DL33" s="58"/>
    </row>
    <row r="34" spans="2:116" s="4" customFormat="1" ht="18" customHeight="1" thickBot="1" x14ac:dyDescent="0.25">
      <c r="B34" s="127">
        <v>10</v>
      </c>
      <c r="C34" s="118"/>
      <c r="D34" s="118">
        <v>1</v>
      </c>
      <c r="E34" s="118"/>
      <c r="F34" s="118"/>
      <c r="G34" s="118"/>
      <c r="H34" s="118"/>
      <c r="I34" s="118"/>
      <c r="J34" s="89">
        <f>#N/A</f>
        <v>0.71874999999999967</v>
      </c>
      <c r="K34" s="89"/>
      <c r="L34" s="89"/>
      <c r="M34" s="89"/>
      <c r="N34" s="90"/>
      <c r="O34" s="91" t="str">
        <f>P20</f>
        <v>Kraft am Werk</v>
      </c>
      <c r="P34" s="92"/>
      <c r="Q34" s="92"/>
      <c r="R34" s="92"/>
      <c r="S34" s="92"/>
      <c r="T34" s="92"/>
      <c r="U34" s="92"/>
      <c r="V34" s="92"/>
      <c r="W34" s="92"/>
      <c r="X34" s="92"/>
      <c r="Y34" s="92"/>
      <c r="Z34" s="92"/>
      <c r="AA34" s="92"/>
      <c r="AB34" s="92"/>
      <c r="AC34" s="92"/>
      <c r="AD34" s="92"/>
      <c r="AE34" s="8" t="s">
        <v>19</v>
      </c>
      <c r="AF34" s="92" t="str">
        <f>P17</f>
        <v>Strahm AG</v>
      </c>
      <c r="AG34" s="92"/>
      <c r="AH34" s="92"/>
      <c r="AI34" s="92"/>
      <c r="AJ34" s="92"/>
      <c r="AK34" s="92"/>
      <c r="AL34" s="92"/>
      <c r="AM34" s="92"/>
      <c r="AN34" s="92"/>
      <c r="AO34" s="92"/>
      <c r="AP34" s="92"/>
      <c r="AQ34" s="92"/>
      <c r="AR34" s="92"/>
      <c r="AS34" s="92"/>
      <c r="AT34" s="92"/>
      <c r="AU34" s="92"/>
      <c r="AV34" s="124"/>
      <c r="AW34" s="114"/>
      <c r="AX34" s="122"/>
      <c r="AY34" s="8" t="s">
        <v>18</v>
      </c>
      <c r="AZ34" s="122"/>
      <c r="BA34" s="123"/>
      <c r="BB34" s="114"/>
      <c r="BC34" s="115"/>
      <c r="BD34" s="13"/>
      <c r="BE34" s="46"/>
      <c r="BF34" s="50" t="str">
        <f>#N/A</f>
        <v>0</v>
      </c>
      <c r="BG34" s="50" t="s">
        <v>18</v>
      </c>
      <c r="BH34" s="50" t="str">
        <f>#N/A</f>
        <v>0</v>
      </c>
      <c r="BI34" s="46"/>
      <c r="BJ34" s="46"/>
      <c r="BK34" s="55"/>
      <c r="BL34" s="55"/>
      <c r="BM34" s="34"/>
      <c r="BN34" s="34"/>
      <c r="BO34" s="34"/>
      <c r="BP34" s="34"/>
      <c r="BQ34" s="34"/>
      <c r="BR34" s="34"/>
      <c r="BS34" s="52"/>
      <c r="BT34" s="46"/>
      <c r="BU34" s="46"/>
      <c r="BV34" s="49"/>
      <c r="BW34" s="49"/>
      <c r="BX34" s="49"/>
      <c r="BY34" s="49"/>
      <c r="BZ34" s="49"/>
      <c r="CA34" s="49"/>
      <c r="CB34" s="49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58"/>
      <c r="CN34" s="58"/>
      <c r="CO34" s="58"/>
      <c r="CP34" s="58"/>
      <c r="CQ34" s="58"/>
      <c r="CR34" s="58"/>
      <c r="CS34" s="58"/>
      <c r="CT34" s="58"/>
      <c r="CU34" s="34"/>
      <c r="CV34" s="34"/>
      <c r="CW34" s="34"/>
      <c r="CX34" s="34"/>
      <c r="CY34" s="34"/>
      <c r="CZ34" s="34"/>
      <c r="DA34" s="34"/>
      <c r="DB34" s="34"/>
      <c r="DC34" s="34"/>
      <c r="DD34" s="34"/>
      <c r="DE34" s="34"/>
      <c r="DF34" s="34"/>
      <c r="DG34" s="34"/>
      <c r="DH34" s="34"/>
      <c r="DI34" s="34"/>
      <c r="DJ34" s="34"/>
      <c r="DK34" s="34"/>
      <c r="DL34" s="58"/>
    </row>
    <row r="36" spans="2:116" x14ac:dyDescent="0.2">
      <c r="B36" s="1" t="s">
        <v>29</v>
      </c>
    </row>
    <row r="37" spans="2:116" ht="6" customHeight="1" x14ac:dyDescent="0.2"/>
    <row r="38" spans="2:116" s="9" customFormat="1" ht="13.5" customHeight="1" thickBot="1" x14ac:dyDescent="0.25">
      <c r="AA38" s="10"/>
      <c r="AB38" s="10"/>
      <c r="AC38" s="10"/>
      <c r="AD38" s="10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E38" s="56"/>
      <c r="BF38" s="56"/>
      <c r="BG38" s="56"/>
      <c r="BH38" s="56"/>
      <c r="BI38" s="56"/>
      <c r="BJ38" s="56"/>
      <c r="BK38" s="56"/>
      <c r="BL38" s="56"/>
      <c r="BM38" s="56"/>
      <c r="BN38" s="56"/>
      <c r="BO38" s="56"/>
      <c r="BP38" s="56"/>
      <c r="BQ38" s="56"/>
      <c r="BR38" s="56"/>
      <c r="BS38" s="56"/>
      <c r="BT38" s="56"/>
      <c r="BU38" s="56"/>
      <c r="BV38" s="57"/>
      <c r="BW38" s="57"/>
      <c r="BX38" s="57"/>
      <c r="BY38" s="57"/>
      <c r="BZ38" s="57"/>
      <c r="CA38" s="57"/>
      <c r="CB38" s="57"/>
      <c r="CC38" s="36"/>
      <c r="CD38" s="36"/>
      <c r="CE38" s="36"/>
      <c r="CF38" s="36"/>
      <c r="CG38" s="36"/>
      <c r="CH38" s="36"/>
      <c r="CI38" s="36"/>
      <c r="CJ38" s="36"/>
      <c r="CK38" s="36"/>
      <c r="CL38" s="36"/>
      <c r="CU38" s="36"/>
      <c r="CV38" s="36"/>
      <c r="CW38" s="36"/>
      <c r="CX38" s="36"/>
      <c r="CY38" s="36"/>
      <c r="CZ38" s="36"/>
      <c r="DA38" s="36"/>
      <c r="DB38" s="36"/>
      <c r="DC38" s="36"/>
      <c r="DD38" s="36"/>
      <c r="DE38" s="36"/>
      <c r="DF38" s="36"/>
      <c r="DG38" s="36"/>
      <c r="DH38" s="36"/>
      <c r="DI38" s="36"/>
      <c r="DJ38" s="36"/>
      <c r="DK38" s="36"/>
    </row>
    <row r="39" spans="2:116" ht="13.5" thickBot="1" x14ac:dyDescent="0.25">
      <c r="I39" s="120" t="s">
        <v>31</v>
      </c>
      <c r="J39" s="121"/>
      <c r="K39" s="121"/>
      <c r="L39" s="121"/>
      <c r="M39" s="121"/>
      <c r="N39" s="121"/>
      <c r="O39" s="121"/>
      <c r="P39" s="121"/>
      <c r="Q39" s="121"/>
      <c r="R39" s="121"/>
      <c r="S39" s="121"/>
      <c r="T39" s="121"/>
      <c r="U39" s="121"/>
      <c r="V39" s="121"/>
      <c r="W39" s="121"/>
      <c r="X39" s="121"/>
      <c r="Y39" s="121"/>
      <c r="Z39" s="121"/>
      <c r="AA39" s="121"/>
      <c r="AB39" s="121"/>
      <c r="AC39" s="121"/>
      <c r="AD39" s="121"/>
      <c r="AE39" s="121"/>
      <c r="AF39" s="121"/>
      <c r="AG39" s="121"/>
      <c r="AH39" s="97" t="s">
        <v>28</v>
      </c>
      <c r="AI39" s="98"/>
      <c r="AJ39" s="98"/>
      <c r="AK39" s="97" t="s">
        <v>21</v>
      </c>
      <c r="AL39" s="98"/>
      <c r="AM39" s="98"/>
      <c r="AN39" s="97" t="s">
        <v>22</v>
      </c>
      <c r="AO39" s="98"/>
      <c r="AP39" s="98"/>
      <c r="AQ39" s="98"/>
      <c r="AR39" s="98"/>
      <c r="AS39" s="97" t="s">
        <v>23</v>
      </c>
      <c r="AT39" s="98"/>
      <c r="AU39" s="119"/>
    </row>
    <row r="40" spans="2:116" ht="20.100000000000001" customHeight="1" thickBot="1" x14ac:dyDescent="0.25">
      <c r="I40" s="105" t="s">
        <v>10</v>
      </c>
      <c r="J40" s="100"/>
      <c r="K40" s="110" t="str">
        <f>BM25</f>
        <v>Schreiner Kickers</v>
      </c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F40" s="110"/>
      <c r="AG40" s="110"/>
      <c r="AH40" s="101">
        <f>BN25</f>
        <v>0</v>
      </c>
      <c r="AI40" s="100"/>
      <c r="AJ40" s="102"/>
      <c r="AK40" s="100">
        <f>BO25</f>
        <v>0</v>
      </c>
      <c r="AL40" s="100"/>
      <c r="AM40" s="100"/>
      <c r="AN40" s="101">
        <f>BP25</f>
        <v>0</v>
      </c>
      <c r="AO40" s="100"/>
      <c r="AP40" s="39" t="s">
        <v>18</v>
      </c>
      <c r="AQ40" s="100">
        <f>BR25</f>
        <v>0</v>
      </c>
      <c r="AR40" s="102"/>
      <c r="AS40" s="103">
        <f>BS25</f>
        <v>0</v>
      </c>
      <c r="AT40" s="103"/>
      <c r="AU40" s="104"/>
    </row>
    <row r="41" spans="2:116" ht="20.100000000000001" customHeight="1" thickBot="1" x14ac:dyDescent="0.25">
      <c r="I41" s="105" t="s">
        <v>11</v>
      </c>
      <c r="J41" s="100"/>
      <c r="K41" s="110" t="str">
        <f>BM26</f>
        <v>Cheminéeruetene</v>
      </c>
      <c r="L41" s="110"/>
      <c r="M41" s="110"/>
      <c r="N41" s="110"/>
      <c r="O41" s="110"/>
      <c r="P41" s="110"/>
      <c r="Q41" s="110"/>
      <c r="R41" s="110"/>
      <c r="S41" s="110"/>
      <c r="T41" s="110"/>
      <c r="U41" s="110"/>
      <c r="V41" s="110"/>
      <c r="W41" s="110"/>
      <c r="X41" s="110"/>
      <c r="Y41" s="110"/>
      <c r="Z41" s="110"/>
      <c r="AA41" s="110"/>
      <c r="AB41" s="110"/>
      <c r="AC41" s="110"/>
      <c r="AD41" s="110"/>
      <c r="AE41" s="110"/>
      <c r="AF41" s="110"/>
      <c r="AG41" s="110"/>
      <c r="AH41" s="101">
        <f>BN26</f>
        <v>0</v>
      </c>
      <c r="AI41" s="100"/>
      <c r="AJ41" s="102"/>
      <c r="AK41" s="100">
        <f>BO26</f>
        <v>0</v>
      </c>
      <c r="AL41" s="100"/>
      <c r="AM41" s="100"/>
      <c r="AN41" s="101">
        <f>BP26</f>
        <v>0</v>
      </c>
      <c r="AO41" s="100"/>
      <c r="AP41" s="39" t="s">
        <v>18</v>
      </c>
      <c r="AQ41" s="100">
        <f>BR26</f>
        <v>0</v>
      </c>
      <c r="AR41" s="102"/>
      <c r="AS41" s="103">
        <f>BS26</f>
        <v>0</v>
      </c>
      <c r="AT41" s="103"/>
      <c r="AU41" s="104"/>
    </row>
    <row r="42" spans="2:116" ht="20.100000000000001" customHeight="1" thickBot="1" x14ac:dyDescent="0.25">
      <c r="I42" s="105" t="s">
        <v>12</v>
      </c>
      <c r="J42" s="100"/>
      <c r="K42" s="110" t="str">
        <f>BM27</f>
        <v>Strahm AG</v>
      </c>
      <c r="L42" s="110"/>
      <c r="M42" s="110"/>
      <c r="N42" s="110"/>
      <c r="O42" s="110"/>
      <c r="P42" s="110"/>
      <c r="Q42" s="110"/>
      <c r="R42" s="110"/>
      <c r="S42" s="110"/>
      <c r="T42" s="110"/>
      <c r="U42" s="110"/>
      <c r="V42" s="110"/>
      <c r="W42" s="110"/>
      <c r="X42" s="110"/>
      <c r="Y42" s="110"/>
      <c r="Z42" s="110"/>
      <c r="AA42" s="110"/>
      <c r="AB42" s="110"/>
      <c r="AC42" s="110"/>
      <c r="AD42" s="110"/>
      <c r="AE42" s="110"/>
      <c r="AF42" s="110"/>
      <c r="AG42" s="110"/>
      <c r="AH42" s="101">
        <f>BN27</f>
        <v>0</v>
      </c>
      <c r="AI42" s="100"/>
      <c r="AJ42" s="102"/>
      <c r="AK42" s="100">
        <f>BO27</f>
        <v>0</v>
      </c>
      <c r="AL42" s="100"/>
      <c r="AM42" s="100"/>
      <c r="AN42" s="101">
        <f>BP27</f>
        <v>0</v>
      </c>
      <c r="AO42" s="100"/>
      <c r="AP42" s="39" t="s">
        <v>18</v>
      </c>
      <c r="AQ42" s="100">
        <f>BR27</f>
        <v>0</v>
      </c>
      <c r="AR42" s="102"/>
      <c r="AS42" s="103">
        <f>BS27</f>
        <v>0</v>
      </c>
      <c r="AT42" s="103"/>
      <c r="AU42" s="104"/>
    </row>
    <row r="43" spans="2:116" ht="20.100000000000001" customHeight="1" thickBot="1" x14ac:dyDescent="0.25">
      <c r="I43" s="113" t="s">
        <v>13</v>
      </c>
      <c r="J43" s="108"/>
      <c r="K43" s="106" t="str">
        <f>BM28</f>
        <v>Kraft am Werk</v>
      </c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7">
        <f>BN28</f>
        <v>0</v>
      </c>
      <c r="AI43" s="108"/>
      <c r="AJ43" s="109"/>
      <c r="AK43" s="108">
        <f>BO28</f>
        <v>0</v>
      </c>
      <c r="AL43" s="108"/>
      <c r="AM43" s="108"/>
      <c r="AN43" s="107">
        <f>BP28</f>
        <v>0</v>
      </c>
      <c r="AO43" s="108"/>
      <c r="AP43" s="38" t="s">
        <v>18</v>
      </c>
      <c r="AQ43" s="108">
        <f>BR28</f>
        <v>0</v>
      </c>
      <c r="AR43" s="109"/>
      <c r="AS43" s="111">
        <f>BS28</f>
        <v>0</v>
      </c>
      <c r="AT43" s="111"/>
      <c r="AU43" s="112"/>
    </row>
    <row r="44" spans="2:116" ht="20.100000000000001" customHeight="1" thickBot="1" x14ac:dyDescent="0.25">
      <c r="I44" s="105" t="s">
        <v>14</v>
      </c>
      <c r="J44" s="100"/>
      <c r="K44" s="110" t="str">
        <f>BM29</f>
        <v>Novexler</v>
      </c>
      <c r="L44" s="110"/>
      <c r="M44" s="110"/>
      <c r="N44" s="110"/>
      <c r="O44" s="110"/>
      <c r="P44" s="110"/>
      <c r="Q44" s="110"/>
      <c r="R44" s="110"/>
      <c r="S44" s="110"/>
      <c r="T44" s="110"/>
      <c r="U44" s="110"/>
      <c r="V44" s="110"/>
      <c r="W44" s="110"/>
      <c r="X44" s="110"/>
      <c r="Y44" s="110"/>
      <c r="Z44" s="110"/>
      <c r="AA44" s="110"/>
      <c r="AB44" s="110"/>
      <c r="AC44" s="110"/>
      <c r="AD44" s="110"/>
      <c r="AE44" s="110"/>
      <c r="AF44" s="110"/>
      <c r="AG44" s="110"/>
      <c r="AH44" s="101">
        <f>BN29</f>
        <v>0</v>
      </c>
      <c r="AI44" s="100"/>
      <c r="AJ44" s="102"/>
      <c r="AK44" s="100">
        <f>BO29</f>
        <v>0</v>
      </c>
      <c r="AL44" s="100"/>
      <c r="AM44" s="100"/>
      <c r="AN44" s="101">
        <f>BP29</f>
        <v>0</v>
      </c>
      <c r="AO44" s="100"/>
      <c r="AP44" s="39" t="s">
        <v>18</v>
      </c>
      <c r="AQ44" s="100">
        <f>BR29</f>
        <v>0</v>
      </c>
      <c r="AR44" s="102"/>
      <c r="AS44" s="103">
        <f>BS29</f>
        <v>0</v>
      </c>
      <c r="AT44" s="103"/>
      <c r="AU44" s="104"/>
    </row>
  </sheetData>
  <mergeCells count="164">
    <mergeCell ref="J33:N33"/>
    <mergeCell ref="O33:AD33"/>
    <mergeCell ref="AF33:AV33"/>
    <mergeCell ref="J29:N29"/>
    <mergeCell ref="O29:AD29"/>
    <mergeCell ref="AF29:AV29"/>
    <mergeCell ref="N20:O20"/>
    <mergeCell ref="J31:N31"/>
    <mergeCell ref="O31:AD31"/>
    <mergeCell ref="J32:N32"/>
    <mergeCell ref="O32:AD32"/>
    <mergeCell ref="O24:AV24"/>
    <mergeCell ref="AF27:AV27"/>
    <mergeCell ref="A2:AP2"/>
    <mergeCell ref="A3:AP3"/>
    <mergeCell ref="A4:AP4"/>
    <mergeCell ref="N15:AJ15"/>
    <mergeCell ref="AL10:AP10"/>
    <mergeCell ref="U10:V10"/>
    <mergeCell ref="AK15:AL15"/>
    <mergeCell ref="M6:T6"/>
    <mergeCell ref="Y6:AF6"/>
    <mergeCell ref="B8:AM8"/>
    <mergeCell ref="X10:AB10"/>
    <mergeCell ref="H10:L10"/>
    <mergeCell ref="AK44:AM44"/>
    <mergeCell ref="AN44:AO44"/>
    <mergeCell ref="AQ44:AR44"/>
    <mergeCell ref="I41:J41"/>
    <mergeCell ref="K41:AG41"/>
    <mergeCell ref="K44:AG44"/>
    <mergeCell ref="K42:AG42"/>
    <mergeCell ref="AQ42:AR42"/>
    <mergeCell ref="AS44:AU44"/>
    <mergeCell ref="I44:J44"/>
    <mergeCell ref="K43:AG43"/>
    <mergeCell ref="AH43:AJ43"/>
    <mergeCell ref="AK43:AM43"/>
    <mergeCell ref="AN43:AO43"/>
    <mergeCell ref="AQ43:AR43"/>
    <mergeCell ref="AS43:AU43"/>
    <mergeCell ref="I43:J43"/>
    <mergeCell ref="AH44:AJ44"/>
    <mergeCell ref="AS42:AU42"/>
    <mergeCell ref="I42:J42"/>
    <mergeCell ref="AH41:AJ41"/>
    <mergeCell ref="AK41:AM41"/>
    <mergeCell ref="AN41:AO41"/>
    <mergeCell ref="AQ41:AR41"/>
    <mergeCell ref="J34:N34"/>
    <mergeCell ref="O34:AD34"/>
    <mergeCell ref="AF34:AV34"/>
    <mergeCell ref="AW34:AX34"/>
    <mergeCell ref="AZ34:BA34"/>
    <mergeCell ref="BB34:BC34"/>
    <mergeCell ref="AS41:AU41"/>
    <mergeCell ref="AH42:AJ42"/>
    <mergeCell ref="AK42:AM42"/>
    <mergeCell ref="AN42:AO42"/>
    <mergeCell ref="AS40:AU40"/>
    <mergeCell ref="I40:J40"/>
    <mergeCell ref="AN39:AR39"/>
    <mergeCell ref="AS39:AU39"/>
    <mergeCell ref="AH40:AJ40"/>
    <mergeCell ref="AK40:AM40"/>
    <mergeCell ref="AN40:AO40"/>
    <mergeCell ref="AQ40:AR40"/>
    <mergeCell ref="K40:AG40"/>
    <mergeCell ref="AH39:AJ39"/>
    <mergeCell ref="I39:AG39"/>
    <mergeCell ref="AK39:AM39"/>
    <mergeCell ref="AW27:AX27"/>
    <mergeCell ref="AZ27:BA27"/>
    <mergeCell ref="BB29:BC29"/>
    <mergeCell ref="AF30:AV30"/>
    <mergeCell ref="AW30:AX30"/>
    <mergeCell ref="AW33:AX33"/>
    <mergeCell ref="AZ31:BA31"/>
    <mergeCell ref="BB31:BC31"/>
    <mergeCell ref="AF32:AV32"/>
    <mergeCell ref="AW32:AX32"/>
    <mergeCell ref="AZ32:BA32"/>
    <mergeCell ref="AZ33:BA33"/>
    <mergeCell ref="BB32:BC32"/>
    <mergeCell ref="AF31:AV31"/>
    <mergeCell ref="AW31:AX31"/>
    <mergeCell ref="AW29:AX29"/>
    <mergeCell ref="AZ29:BA29"/>
    <mergeCell ref="BB33:BC33"/>
    <mergeCell ref="B31:C31"/>
    <mergeCell ref="D29:F29"/>
    <mergeCell ref="G29:I29"/>
    <mergeCell ref="D28:F28"/>
    <mergeCell ref="G28:I28"/>
    <mergeCell ref="B32:C32"/>
    <mergeCell ref="B33:C33"/>
    <mergeCell ref="B34:C34"/>
    <mergeCell ref="D31:F31"/>
    <mergeCell ref="G31:I31"/>
    <mergeCell ref="D33:F33"/>
    <mergeCell ref="G33:I33"/>
    <mergeCell ref="D32:F32"/>
    <mergeCell ref="G32:I32"/>
    <mergeCell ref="D30:F30"/>
    <mergeCell ref="G30:I30"/>
    <mergeCell ref="D34:F34"/>
    <mergeCell ref="G34:I34"/>
    <mergeCell ref="BB24:BC24"/>
    <mergeCell ref="AW24:BA24"/>
    <mergeCell ref="J24:N24"/>
    <mergeCell ref="D24:F24"/>
    <mergeCell ref="G24:I24"/>
    <mergeCell ref="B27:C27"/>
    <mergeCell ref="B28:C28"/>
    <mergeCell ref="B29:C29"/>
    <mergeCell ref="B30:C30"/>
    <mergeCell ref="J30:N30"/>
    <mergeCell ref="O30:AD30"/>
    <mergeCell ref="J28:N28"/>
    <mergeCell ref="O28:AD28"/>
    <mergeCell ref="AZ30:BA30"/>
    <mergeCell ref="BB30:BC30"/>
    <mergeCell ref="J27:N27"/>
    <mergeCell ref="BB27:BC27"/>
    <mergeCell ref="BB28:BC28"/>
    <mergeCell ref="AF28:AV28"/>
    <mergeCell ref="AW28:AX28"/>
    <mergeCell ref="AZ28:BA28"/>
    <mergeCell ref="D27:F27"/>
    <mergeCell ref="G27:I27"/>
    <mergeCell ref="O27:AD27"/>
    <mergeCell ref="BB25:BC25"/>
    <mergeCell ref="AW25:AX25"/>
    <mergeCell ref="AZ25:BA25"/>
    <mergeCell ref="AW26:AX26"/>
    <mergeCell ref="AZ26:BA26"/>
    <mergeCell ref="BB26:BC26"/>
    <mergeCell ref="B25:C25"/>
    <mergeCell ref="D25:F25"/>
    <mergeCell ref="G25:I25"/>
    <mergeCell ref="J25:N25"/>
    <mergeCell ref="AK18:AL18"/>
    <mergeCell ref="AK19:AL19"/>
    <mergeCell ref="AK16:AL16"/>
    <mergeCell ref="AK17:AL17"/>
    <mergeCell ref="B26:C26"/>
    <mergeCell ref="O26:AD26"/>
    <mergeCell ref="AF26:AV26"/>
    <mergeCell ref="J26:N26"/>
    <mergeCell ref="D26:F26"/>
    <mergeCell ref="G26:I26"/>
    <mergeCell ref="O25:AD25"/>
    <mergeCell ref="AF25:AV25"/>
    <mergeCell ref="B24:C24"/>
    <mergeCell ref="P16:AJ16"/>
    <mergeCell ref="P17:AJ17"/>
    <mergeCell ref="P18:AJ18"/>
    <mergeCell ref="P19:AJ19"/>
    <mergeCell ref="P20:AJ20"/>
    <mergeCell ref="N16:O16"/>
    <mergeCell ref="N17:O17"/>
    <mergeCell ref="N18:O18"/>
    <mergeCell ref="N19:O19"/>
    <mergeCell ref="AK20:AL20"/>
  </mergeCells>
  <phoneticPr fontId="2" type="noConversion"/>
  <pageMargins left="0.39370078740157483" right="0.39370078740157483" top="0.39370078740157483" bottom="0.39370078740157483" header="0" footer="0"/>
  <pageSetup paperSize="9" orientation="portrait" r:id="rId1"/>
  <headerFooter alignWithMargins="0">
    <oddFooter xml:space="preserve">&amp;C                                  &amp;F&amp;R&amp;P von &amp;N 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B1:F6"/>
  <sheetViews>
    <sheetView tabSelected="1" workbookViewId="0">
      <selection activeCell="D4" sqref="D4"/>
    </sheetView>
  </sheetViews>
  <sheetFormatPr baseColWidth="10" defaultRowHeight="12.75" x14ac:dyDescent="0.2"/>
  <cols>
    <col min="2" max="2" width="4.7109375" customWidth="1"/>
  </cols>
  <sheetData>
    <row r="1" spans="2:6" ht="13.5" thickBot="1" x14ac:dyDescent="0.25"/>
    <row r="2" spans="2:6" ht="17.100000000000001" customHeight="1" thickBot="1" x14ac:dyDescent="0.25">
      <c r="B2" s="62" t="s">
        <v>15</v>
      </c>
      <c r="C2" s="63" t="s">
        <v>16</v>
      </c>
      <c r="D2" s="154" t="s">
        <v>17</v>
      </c>
      <c r="E2" s="154"/>
      <c r="F2" s="64" t="s">
        <v>53</v>
      </c>
    </row>
    <row r="3" spans="2:6" ht="17.100000000000001" customHeight="1" x14ac:dyDescent="0.2">
      <c r="B3" s="65" t="s">
        <v>81</v>
      </c>
      <c r="C3" s="66" t="s">
        <v>78</v>
      </c>
      <c r="D3" s="67" t="s">
        <v>82</v>
      </c>
      <c r="E3" s="67" t="s">
        <v>79</v>
      </c>
      <c r="F3" s="68" t="s">
        <v>80</v>
      </c>
    </row>
    <row r="4" spans="2:6" ht="17.100000000000001" customHeight="1" x14ac:dyDescent="0.2">
      <c r="B4" s="69"/>
      <c r="C4" s="70"/>
      <c r="D4" s="69"/>
      <c r="E4" s="69"/>
      <c r="F4" s="69"/>
    </row>
    <row r="5" spans="2:6" ht="17.100000000000001" customHeight="1" x14ac:dyDescent="0.2">
      <c r="B5" s="69"/>
      <c r="C5" s="70"/>
      <c r="D5" s="69"/>
      <c r="E5" s="69"/>
      <c r="F5" s="69"/>
    </row>
    <row r="6" spans="2:6" ht="17.100000000000001" customHeight="1" x14ac:dyDescent="0.2">
      <c r="B6" s="69"/>
      <c r="C6" s="70"/>
      <c r="D6" s="69"/>
      <c r="E6" s="69"/>
      <c r="F6" s="69"/>
    </row>
  </sheetData>
  <mergeCells count="1">
    <mergeCell ref="D2:E2"/>
  </mergeCells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B2:J28"/>
  <sheetViews>
    <sheetView topLeftCell="A17" workbookViewId="0">
      <selection activeCell="B40" sqref="B40"/>
    </sheetView>
  </sheetViews>
  <sheetFormatPr baseColWidth="10" defaultRowHeight="12.75" x14ac:dyDescent="0.2"/>
  <cols>
    <col min="2" max="2" width="17.5703125" customWidth="1"/>
    <col min="6" max="6" width="17.140625" customWidth="1"/>
    <col min="7" max="7" width="16.140625" customWidth="1"/>
  </cols>
  <sheetData>
    <row r="2" spans="2:10" x14ac:dyDescent="0.2">
      <c r="B2" s="155" t="s">
        <v>69</v>
      </c>
      <c r="C2" s="155"/>
      <c r="E2" s="155" t="s">
        <v>71</v>
      </c>
      <c r="F2" s="155"/>
      <c r="H2" s="155" t="s">
        <v>74</v>
      </c>
      <c r="I2" s="155"/>
    </row>
    <row r="3" spans="2:10" x14ac:dyDescent="0.2">
      <c r="B3" s="60" t="s">
        <v>52</v>
      </c>
      <c r="C3" s="60" t="s">
        <v>53</v>
      </c>
      <c r="E3" s="60" t="s">
        <v>53</v>
      </c>
      <c r="F3" s="60" t="s">
        <v>70</v>
      </c>
      <c r="H3" s="60" t="s">
        <v>75</v>
      </c>
      <c r="I3" s="60" t="s">
        <v>77</v>
      </c>
      <c r="J3" s="60" t="s">
        <v>76</v>
      </c>
    </row>
    <row r="4" spans="2:10" x14ac:dyDescent="0.2">
      <c r="B4" t="s">
        <v>33</v>
      </c>
      <c r="C4" s="59" t="s">
        <v>54</v>
      </c>
      <c r="E4" s="59" t="s">
        <v>54</v>
      </c>
      <c r="F4" s="59" t="s">
        <v>1</v>
      </c>
      <c r="H4" s="59" t="s">
        <v>1</v>
      </c>
      <c r="I4" s="61">
        <v>0.625</v>
      </c>
    </row>
    <row r="5" spans="2:10" x14ac:dyDescent="0.2">
      <c r="B5" t="s">
        <v>34</v>
      </c>
      <c r="C5" s="59" t="s">
        <v>54</v>
      </c>
      <c r="D5" s="59"/>
      <c r="E5" s="59" t="s">
        <v>55</v>
      </c>
      <c r="F5" s="59" t="s">
        <v>72</v>
      </c>
      <c r="H5" s="59" t="s">
        <v>72</v>
      </c>
      <c r="I5" s="61">
        <v>0.41666666666666669</v>
      </c>
    </row>
    <row r="6" spans="2:10" x14ac:dyDescent="0.2">
      <c r="B6" t="s">
        <v>35</v>
      </c>
      <c r="C6" s="59" t="s">
        <v>54</v>
      </c>
      <c r="E6" s="59" t="s">
        <v>60</v>
      </c>
      <c r="F6" s="59" t="s">
        <v>73</v>
      </c>
    </row>
    <row r="7" spans="2:10" x14ac:dyDescent="0.2">
      <c r="B7" t="s">
        <v>36</v>
      </c>
      <c r="C7" s="59" t="s">
        <v>54</v>
      </c>
      <c r="E7" s="59" t="s">
        <v>63</v>
      </c>
      <c r="F7" s="59" t="s">
        <v>1</v>
      </c>
    </row>
    <row r="8" spans="2:10" x14ac:dyDescent="0.2">
      <c r="B8" t="s">
        <v>37</v>
      </c>
      <c r="C8" s="59" t="s">
        <v>54</v>
      </c>
      <c r="E8" s="59" t="s">
        <v>68</v>
      </c>
      <c r="F8" s="59" t="s">
        <v>72</v>
      </c>
    </row>
    <row r="10" spans="2:10" x14ac:dyDescent="0.2">
      <c r="B10" t="s">
        <v>47</v>
      </c>
      <c r="C10" s="59" t="s">
        <v>55</v>
      </c>
    </row>
    <row r="11" spans="2:10" x14ac:dyDescent="0.2">
      <c r="B11" t="s">
        <v>48</v>
      </c>
      <c r="C11" s="59" t="s">
        <v>55</v>
      </c>
    </row>
    <row r="12" spans="2:10" x14ac:dyDescent="0.2">
      <c r="B12" t="s">
        <v>49</v>
      </c>
      <c r="C12" s="59" t="s">
        <v>55</v>
      </c>
    </row>
    <row r="13" spans="2:10" x14ac:dyDescent="0.2">
      <c r="B13" t="s">
        <v>50</v>
      </c>
      <c r="C13" s="59" t="s">
        <v>55</v>
      </c>
    </row>
    <row r="14" spans="2:10" x14ac:dyDescent="0.2">
      <c r="B14" t="s">
        <v>51</v>
      </c>
      <c r="C14" s="59" t="s">
        <v>55</v>
      </c>
    </row>
    <row r="16" spans="2:10" x14ac:dyDescent="0.2">
      <c r="B16" s="59" t="s">
        <v>56</v>
      </c>
      <c r="C16" s="59" t="s">
        <v>60</v>
      </c>
    </row>
    <row r="17" spans="2:3" x14ac:dyDescent="0.2">
      <c r="B17" s="59" t="s">
        <v>57</v>
      </c>
      <c r="C17" s="59" t="s">
        <v>60</v>
      </c>
    </row>
    <row r="18" spans="2:3" x14ac:dyDescent="0.2">
      <c r="B18" s="59" t="s">
        <v>58</v>
      </c>
      <c r="C18" s="59" t="s">
        <v>60</v>
      </c>
    </row>
    <row r="19" spans="2:3" x14ac:dyDescent="0.2">
      <c r="B19" s="59" t="s">
        <v>59</v>
      </c>
      <c r="C19" s="59" t="s">
        <v>60</v>
      </c>
    </row>
    <row r="21" spans="2:3" x14ac:dyDescent="0.2">
      <c r="B21" s="59" t="s">
        <v>61</v>
      </c>
      <c r="C21" s="59" t="s">
        <v>63</v>
      </c>
    </row>
    <row r="22" spans="2:3" x14ac:dyDescent="0.2">
      <c r="B22" s="59" t="s">
        <v>62</v>
      </c>
      <c r="C22" s="59" t="s">
        <v>63</v>
      </c>
    </row>
    <row r="23" spans="2:3" x14ac:dyDescent="0.2">
      <c r="B23" s="59" t="s">
        <v>57</v>
      </c>
      <c r="C23" s="59" t="s">
        <v>63</v>
      </c>
    </row>
    <row r="25" spans="2:3" x14ac:dyDescent="0.2">
      <c r="B25" s="59" t="s">
        <v>64</v>
      </c>
      <c r="C25" s="59" t="s">
        <v>68</v>
      </c>
    </row>
    <row r="26" spans="2:3" x14ac:dyDescent="0.2">
      <c r="B26" s="59" t="s">
        <v>65</v>
      </c>
      <c r="C26" s="59" t="s">
        <v>68</v>
      </c>
    </row>
    <row r="27" spans="2:3" x14ac:dyDescent="0.2">
      <c r="B27" s="59" t="s">
        <v>66</v>
      </c>
      <c r="C27" s="59" t="s">
        <v>68</v>
      </c>
    </row>
    <row r="28" spans="2:3" x14ac:dyDescent="0.2">
      <c r="B28" s="59" t="s">
        <v>67</v>
      </c>
      <c r="C28" s="59" t="s">
        <v>68</v>
      </c>
    </row>
  </sheetData>
  <mergeCells count="3">
    <mergeCell ref="B2:C2"/>
    <mergeCell ref="E2:F2"/>
    <mergeCell ref="H2:I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BuildSchedule">
                <anchor moveWithCells="1" sizeWithCells="1">
                  <from>
                    <xdr:col>10</xdr:col>
                    <xdr:colOff>0</xdr:colOff>
                    <xdr:row>2</xdr:row>
                    <xdr:rowOff>9525</xdr:rowOff>
                  </from>
                  <to>
                    <xdr:col>11</xdr:col>
                    <xdr:colOff>476250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B1:F24"/>
  <sheetViews>
    <sheetView workbookViewId="0">
      <selection activeCell="B21" sqref="B21"/>
    </sheetView>
  </sheetViews>
  <sheetFormatPr baseColWidth="10" defaultRowHeight="12.75" x14ac:dyDescent="0.2"/>
  <cols>
    <col min="2" max="2" width="4.7109375" customWidth="1"/>
  </cols>
  <sheetData>
    <row r="1" spans="2:6" ht="13.5" thickBot="1" x14ac:dyDescent="0.25"/>
    <row r="2" spans="2:6" ht="17.100000000000001" customHeight="1" thickBot="1" x14ac:dyDescent="0.25">
      <c r="B2" s="62" t="s">
        <v>15</v>
      </c>
      <c r="C2" s="63" t="s">
        <v>16</v>
      </c>
      <c r="D2" s="154" t="s">
        <v>17</v>
      </c>
      <c r="E2" s="154"/>
      <c r="F2" s="64" t="s">
        <v>53</v>
      </c>
    </row>
    <row r="3" spans="2:6" ht="17.100000000000001" customHeight="1" x14ac:dyDescent="0.2">
      <c r="B3" s="65">
        <v>1</v>
      </c>
      <c r="C3" s="66">
        <v>0.625</v>
      </c>
      <c r="D3" s="67" t="s">
        <v>62</v>
      </c>
      <c r="E3" s="67" t="s">
        <v>57</v>
      </c>
      <c r="F3" s="68" t="s">
        <v>63</v>
      </c>
    </row>
    <row r="4" spans="2:6" ht="17.100000000000001" customHeight="1" x14ac:dyDescent="0.2">
      <c r="B4" s="65">
        <v>2</v>
      </c>
      <c r="C4" s="66">
        <v>0.63541666666666663</v>
      </c>
      <c r="D4" s="67" t="s">
        <v>57</v>
      </c>
      <c r="E4" s="67" t="s">
        <v>58</v>
      </c>
      <c r="F4" s="68" t="s">
        <v>60</v>
      </c>
    </row>
    <row r="5" spans="2:6" ht="17.100000000000001" customHeight="1" x14ac:dyDescent="0.2">
      <c r="B5" s="65">
        <v>3</v>
      </c>
      <c r="C5" s="66">
        <v>0.64583333333333337</v>
      </c>
      <c r="D5" s="67" t="s">
        <v>59</v>
      </c>
      <c r="E5" s="67" t="s">
        <v>56</v>
      </c>
      <c r="F5" s="68" t="s">
        <v>60</v>
      </c>
    </row>
    <row r="6" spans="2:6" ht="17.100000000000001" customHeight="1" x14ac:dyDescent="0.2">
      <c r="B6" s="65">
        <v>4</v>
      </c>
      <c r="C6" s="66">
        <v>0.65625</v>
      </c>
      <c r="D6" s="67" t="s">
        <v>61</v>
      </c>
      <c r="E6" s="67" t="s">
        <v>62</v>
      </c>
      <c r="F6" s="68" t="s">
        <v>63</v>
      </c>
    </row>
    <row r="7" spans="2:6" ht="17.100000000000001" customHeight="1" x14ac:dyDescent="0.2">
      <c r="B7" s="65">
        <v>5</v>
      </c>
      <c r="C7" s="66">
        <v>0.66666666666666663</v>
      </c>
      <c r="D7" s="67" t="s">
        <v>56</v>
      </c>
      <c r="E7" s="67" t="s">
        <v>57</v>
      </c>
      <c r="F7" s="68" t="s">
        <v>60</v>
      </c>
    </row>
    <row r="8" spans="2:6" ht="17.100000000000001" customHeight="1" x14ac:dyDescent="0.2">
      <c r="B8" s="65">
        <v>6</v>
      </c>
      <c r="C8" s="66">
        <v>0.67708333333333337</v>
      </c>
      <c r="D8" s="67" t="s">
        <v>58</v>
      </c>
      <c r="E8" s="67" t="s">
        <v>59</v>
      </c>
      <c r="F8" s="68" t="s">
        <v>60</v>
      </c>
    </row>
    <row r="9" spans="2:6" ht="17.100000000000001" customHeight="1" x14ac:dyDescent="0.2">
      <c r="B9" s="65">
        <v>7</v>
      </c>
      <c r="C9" s="66">
        <v>0.6875</v>
      </c>
      <c r="D9" s="67" t="s">
        <v>33</v>
      </c>
      <c r="E9" s="67" t="s">
        <v>36</v>
      </c>
      <c r="F9" s="68" t="s">
        <v>54</v>
      </c>
    </row>
    <row r="10" spans="2:6" ht="17.100000000000001" customHeight="1" x14ac:dyDescent="0.2">
      <c r="B10" s="65">
        <v>8</v>
      </c>
      <c r="C10" s="66">
        <v>0.69791666666666663</v>
      </c>
      <c r="D10" s="67" t="s">
        <v>61</v>
      </c>
      <c r="E10" s="67" t="s">
        <v>57</v>
      </c>
      <c r="F10" s="68" t="s">
        <v>63</v>
      </c>
    </row>
    <row r="11" spans="2:6" ht="17.100000000000001" customHeight="1" x14ac:dyDescent="0.2">
      <c r="B11" s="65">
        <v>9</v>
      </c>
      <c r="C11" s="66">
        <v>0.70833333333333337</v>
      </c>
      <c r="D11" s="67" t="s">
        <v>59</v>
      </c>
      <c r="E11" s="67" t="s">
        <v>57</v>
      </c>
      <c r="F11" s="68" t="s">
        <v>60</v>
      </c>
    </row>
    <row r="12" spans="2:6" ht="17.100000000000001" customHeight="1" x14ac:dyDescent="0.2">
      <c r="B12" s="65">
        <v>10</v>
      </c>
      <c r="C12" s="66">
        <v>0.71875</v>
      </c>
      <c r="D12" s="67" t="s">
        <v>56</v>
      </c>
      <c r="E12" s="67" t="s">
        <v>58</v>
      </c>
      <c r="F12" s="68" t="s">
        <v>60</v>
      </c>
    </row>
    <row r="13" spans="2:6" ht="17.100000000000001" customHeight="1" x14ac:dyDescent="0.2">
      <c r="B13" s="65">
        <v>11</v>
      </c>
      <c r="C13" s="66">
        <v>0.72916666666666663</v>
      </c>
      <c r="D13" s="67" t="s">
        <v>33</v>
      </c>
      <c r="E13" s="67" t="s">
        <v>34</v>
      </c>
      <c r="F13" s="68" t="s">
        <v>54</v>
      </c>
    </row>
    <row r="14" spans="2:6" ht="17.100000000000001" customHeight="1" x14ac:dyDescent="0.2">
      <c r="B14" s="65">
        <v>12</v>
      </c>
      <c r="C14" s="66">
        <v>0.73958333333333337</v>
      </c>
      <c r="D14" s="67" t="s">
        <v>36</v>
      </c>
      <c r="E14" s="67" t="s">
        <v>37</v>
      </c>
      <c r="F14" s="68" t="s">
        <v>54</v>
      </c>
    </row>
    <row r="15" spans="2:6" ht="17.100000000000001" customHeight="1" x14ac:dyDescent="0.2">
      <c r="B15" s="65">
        <v>13</v>
      </c>
      <c r="C15" s="66">
        <v>0.75</v>
      </c>
      <c r="D15" s="67" t="s">
        <v>34</v>
      </c>
      <c r="E15" s="67" t="s">
        <v>35</v>
      </c>
      <c r="F15" s="68" t="s">
        <v>54</v>
      </c>
    </row>
    <row r="16" spans="2:6" ht="17.100000000000001" customHeight="1" x14ac:dyDescent="0.2">
      <c r="B16" s="65">
        <v>14</v>
      </c>
      <c r="C16" s="66">
        <v>0.76041666666666663</v>
      </c>
      <c r="D16" s="67" t="s">
        <v>33</v>
      </c>
      <c r="E16" s="67" t="s">
        <v>37</v>
      </c>
      <c r="F16" s="68" t="s">
        <v>54</v>
      </c>
    </row>
    <row r="17" spans="2:6" ht="17.100000000000001" customHeight="1" x14ac:dyDescent="0.2">
      <c r="B17" s="65">
        <v>15</v>
      </c>
      <c r="C17" s="66">
        <v>0.77083333333333337</v>
      </c>
      <c r="D17" s="67" t="s">
        <v>34</v>
      </c>
      <c r="E17" s="67" t="s">
        <v>36</v>
      </c>
      <c r="F17" s="68" t="s">
        <v>54</v>
      </c>
    </row>
    <row r="18" spans="2:6" ht="17.100000000000001" customHeight="1" x14ac:dyDescent="0.2">
      <c r="B18" s="65">
        <v>16</v>
      </c>
      <c r="C18" s="66">
        <v>0.78125</v>
      </c>
      <c r="D18" s="67" t="s">
        <v>33</v>
      </c>
      <c r="E18" s="67" t="s">
        <v>35</v>
      </c>
      <c r="F18" s="68" t="s">
        <v>54</v>
      </c>
    </row>
    <row r="19" spans="2:6" ht="17.100000000000001" customHeight="1" x14ac:dyDescent="0.2">
      <c r="B19" s="65">
        <v>17</v>
      </c>
      <c r="C19" s="66">
        <v>0.79166666666666663</v>
      </c>
      <c r="D19" s="67" t="s">
        <v>34</v>
      </c>
      <c r="E19" s="67" t="s">
        <v>37</v>
      </c>
      <c r="F19" s="68" t="s">
        <v>54</v>
      </c>
    </row>
    <row r="20" spans="2:6" ht="17.100000000000001" customHeight="1" x14ac:dyDescent="0.2">
      <c r="B20" s="65">
        <v>18</v>
      </c>
      <c r="C20" s="66">
        <v>0.80208333333333337</v>
      </c>
      <c r="D20" s="67" t="s">
        <v>35</v>
      </c>
      <c r="E20" s="67" t="s">
        <v>36</v>
      </c>
      <c r="F20" s="68" t="s">
        <v>54</v>
      </c>
    </row>
    <row r="21" spans="2:6" ht="17.100000000000001" customHeight="1" x14ac:dyDescent="0.2">
      <c r="B21" s="65">
        <v>19</v>
      </c>
      <c r="C21" s="66">
        <v>0.8125</v>
      </c>
      <c r="D21" s="67" t="s">
        <v>35</v>
      </c>
      <c r="E21" s="67" t="s">
        <v>37</v>
      </c>
      <c r="F21" s="68" t="s">
        <v>54</v>
      </c>
    </row>
    <row r="22" spans="2:6" ht="17.100000000000001" customHeight="1" x14ac:dyDescent="0.2">
      <c r="B22" s="69"/>
      <c r="C22" s="70"/>
      <c r="D22" s="69"/>
      <c r="E22" s="69"/>
      <c r="F22" s="69"/>
    </row>
    <row r="23" spans="2:6" ht="17.100000000000001" customHeight="1" x14ac:dyDescent="0.2">
      <c r="B23" s="69"/>
      <c r="C23" s="70"/>
      <c r="D23" s="69"/>
      <c r="E23" s="69"/>
      <c r="F23" s="69"/>
    </row>
    <row r="24" spans="2:6" ht="17.100000000000001" customHeight="1" x14ac:dyDescent="0.2">
      <c r="B24" s="69"/>
      <c r="C24" s="70"/>
      <c r="D24" s="69"/>
      <c r="E24" s="69"/>
      <c r="F24" s="69"/>
    </row>
  </sheetData>
  <mergeCells count="1">
    <mergeCell ref="D2:E2"/>
  </mergeCells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B1:F21"/>
  <sheetViews>
    <sheetView workbookViewId="0">
      <selection activeCell="B18" sqref="B18"/>
    </sheetView>
  </sheetViews>
  <sheetFormatPr baseColWidth="10" defaultRowHeight="12.75" x14ac:dyDescent="0.2"/>
  <cols>
    <col min="2" max="2" width="4.7109375" customWidth="1"/>
  </cols>
  <sheetData>
    <row r="1" spans="2:6" ht="13.5" thickBot="1" x14ac:dyDescent="0.25"/>
    <row r="2" spans="2:6" ht="17.100000000000001" customHeight="1" thickBot="1" x14ac:dyDescent="0.25">
      <c r="B2" s="62" t="s">
        <v>15</v>
      </c>
      <c r="C2" s="63" t="s">
        <v>16</v>
      </c>
      <c r="D2" s="154" t="s">
        <v>17</v>
      </c>
      <c r="E2" s="154"/>
      <c r="F2" s="64" t="s">
        <v>53</v>
      </c>
    </row>
    <row r="3" spans="2:6" ht="17.100000000000001" customHeight="1" x14ac:dyDescent="0.2">
      <c r="B3" s="65">
        <v>1</v>
      </c>
      <c r="C3" s="66">
        <v>0.41666666666666669</v>
      </c>
      <c r="D3" s="67" t="s">
        <v>51</v>
      </c>
      <c r="E3" s="67" t="s">
        <v>50</v>
      </c>
      <c r="F3" s="68" t="s">
        <v>55</v>
      </c>
    </row>
    <row r="4" spans="2:6" ht="17.100000000000001" customHeight="1" x14ac:dyDescent="0.2">
      <c r="B4" s="65">
        <v>2</v>
      </c>
      <c r="C4" s="66">
        <v>0.42708333333333331</v>
      </c>
      <c r="D4" s="67" t="s">
        <v>49</v>
      </c>
      <c r="E4" s="67" t="s">
        <v>48</v>
      </c>
      <c r="F4" s="68" t="s">
        <v>55</v>
      </c>
    </row>
    <row r="5" spans="2:6" ht="17.100000000000001" customHeight="1" x14ac:dyDescent="0.2">
      <c r="B5" s="65">
        <v>3</v>
      </c>
      <c r="C5" s="66">
        <v>0.4375</v>
      </c>
      <c r="D5" s="67" t="s">
        <v>65</v>
      </c>
      <c r="E5" s="67" t="s">
        <v>67</v>
      </c>
      <c r="F5" s="68" t="s">
        <v>68</v>
      </c>
    </row>
    <row r="6" spans="2:6" ht="17.100000000000001" customHeight="1" x14ac:dyDescent="0.2">
      <c r="B6" s="65">
        <v>4</v>
      </c>
      <c r="C6" s="66">
        <v>0.44791666666666669</v>
      </c>
      <c r="D6" s="67" t="s">
        <v>47</v>
      </c>
      <c r="E6" s="67" t="s">
        <v>50</v>
      </c>
      <c r="F6" s="68" t="s">
        <v>55</v>
      </c>
    </row>
    <row r="7" spans="2:6" ht="17.100000000000001" customHeight="1" x14ac:dyDescent="0.2">
      <c r="B7" s="65">
        <v>5</v>
      </c>
      <c r="C7" s="66">
        <v>0.45833333333333331</v>
      </c>
      <c r="D7" s="67" t="s">
        <v>67</v>
      </c>
      <c r="E7" s="67" t="s">
        <v>64</v>
      </c>
      <c r="F7" s="68" t="s">
        <v>68</v>
      </c>
    </row>
    <row r="8" spans="2:6" ht="17.100000000000001" customHeight="1" x14ac:dyDescent="0.2">
      <c r="B8" s="65">
        <v>6</v>
      </c>
      <c r="C8" s="66">
        <v>0.46875</v>
      </c>
      <c r="D8" s="67" t="s">
        <v>48</v>
      </c>
      <c r="E8" s="67" t="s">
        <v>51</v>
      </c>
      <c r="F8" s="68" t="s">
        <v>55</v>
      </c>
    </row>
    <row r="9" spans="2:6" ht="17.100000000000001" customHeight="1" x14ac:dyDescent="0.2">
      <c r="B9" s="65">
        <v>7</v>
      </c>
      <c r="C9" s="66">
        <v>0.47916666666666669</v>
      </c>
      <c r="D9" s="67" t="s">
        <v>49</v>
      </c>
      <c r="E9" s="67" t="s">
        <v>50</v>
      </c>
      <c r="F9" s="68" t="s">
        <v>55</v>
      </c>
    </row>
    <row r="10" spans="2:6" ht="17.100000000000001" customHeight="1" x14ac:dyDescent="0.2">
      <c r="B10" s="65">
        <v>8</v>
      </c>
      <c r="C10" s="66">
        <v>0.48958333333333331</v>
      </c>
      <c r="D10" s="67" t="s">
        <v>47</v>
      </c>
      <c r="E10" s="67" t="s">
        <v>48</v>
      </c>
      <c r="F10" s="68" t="s">
        <v>55</v>
      </c>
    </row>
    <row r="11" spans="2:6" ht="17.100000000000001" customHeight="1" x14ac:dyDescent="0.2">
      <c r="B11" s="65">
        <v>9</v>
      </c>
      <c r="C11" s="66">
        <v>0.5</v>
      </c>
      <c r="D11" s="67" t="s">
        <v>66</v>
      </c>
      <c r="E11" s="67" t="s">
        <v>67</v>
      </c>
      <c r="F11" s="68" t="s">
        <v>68</v>
      </c>
    </row>
    <row r="12" spans="2:6" ht="17.100000000000001" customHeight="1" x14ac:dyDescent="0.2">
      <c r="B12" s="65">
        <v>10</v>
      </c>
      <c r="C12" s="66">
        <v>0.51041666666666663</v>
      </c>
      <c r="D12" s="67" t="s">
        <v>65</v>
      </c>
      <c r="E12" s="67" t="s">
        <v>64</v>
      </c>
      <c r="F12" s="68" t="s">
        <v>68</v>
      </c>
    </row>
    <row r="13" spans="2:6" ht="17.100000000000001" customHeight="1" x14ac:dyDescent="0.2">
      <c r="B13" s="65">
        <v>11</v>
      </c>
      <c r="C13" s="66">
        <v>0.52083333333333337</v>
      </c>
      <c r="D13" s="67" t="s">
        <v>50</v>
      </c>
      <c r="E13" s="67" t="s">
        <v>48</v>
      </c>
      <c r="F13" s="68" t="s">
        <v>55</v>
      </c>
    </row>
    <row r="14" spans="2:6" ht="17.100000000000001" customHeight="1" x14ac:dyDescent="0.2">
      <c r="B14" s="65">
        <v>12</v>
      </c>
      <c r="C14" s="66">
        <v>0.53125</v>
      </c>
      <c r="D14" s="67" t="s">
        <v>47</v>
      </c>
      <c r="E14" s="67" t="s">
        <v>49</v>
      </c>
      <c r="F14" s="68" t="s">
        <v>55</v>
      </c>
    </row>
    <row r="15" spans="2:6" ht="17.100000000000001" customHeight="1" x14ac:dyDescent="0.2">
      <c r="B15" s="65">
        <v>13</v>
      </c>
      <c r="C15" s="66">
        <v>0.54166666666666663</v>
      </c>
      <c r="D15" s="67" t="s">
        <v>66</v>
      </c>
      <c r="E15" s="67" t="s">
        <v>64</v>
      </c>
      <c r="F15" s="68" t="s">
        <v>68</v>
      </c>
    </row>
    <row r="16" spans="2:6" ht="17.100000000000001" customHeight="1" x14ac:dyDescent="0.2">
      <c r="B16" s="65">
        <v>14</v>
      </c>
      <c r="C16" s="66">
        <v>0.55208333333333337</v>
      </c>
      <c r="D16" s="67" t="s">
        <v>65</v>
      </c>
      <c r="E16" s="67" t="s">
        <v>66</v>
      </c>
      <c r="F16" s="68" t="s">
        <v>68</v>
      </c>
    </row>
    <row r="17" spans="2:6" ht="17.100000000000001" customHeight="1" x14ac:dyDescent="0.2">
      <c r="B17" s="65">
        <v>15</v>
      </c>
      <c r="C17" s="66">
        <v>0.5625</v>
      </c>
      <c r="D17" s="67" t="s">
        <v>49</v>
      </c>
      <c r="E17" s="67" t="s">
        <v>51</v>
      </c>
      <c r="F17" s="68" t="s">
        <v>55</v>
      </c>
    </row>
    <row r="18" spans="2:6" ht="17.100000000000001" customHeight="1" x14ac:dyDescent="0.2">
      <c r="B18" s="65">
        <v>16</v>
      </c>
      <c r="C18" s="66">
        <v>0.57291666666666663</v>
      </c>
      <c r="D18" s="67" t="s">
        <v>51</v>
      </c>
      <c r="E18" s="67" t="s">
        <v>47</v>
      </c>
      <c r="F18" s="68" t="s">
        <v>55</v>
      </c>
    </row>
    <row r="19" spans="2:6" ht="17.100000000000001" customHeight="1" x14ac:dyDescent="0.2">
      <c r="B19" s="69"/>
      <c r="C19" s="70"/>
      <c r="D19" s="69"/>
      <c r="E19" s="69"/>
      <c r="F19" s="69"/>
    </row>
    <row r="20" spans="2:6" ht="17.100000000000001" customHeight="1" x14ac:dyDescent="0.2">
      <c r="B20" s="69"/>
      <c r="C20" s="70"/>
      <c r="D20" s="69"/>
      <c r="E20" s="69"/>
      <c r="F20" s="69"/>
    </row>
    <row r="21" spans="2:6" ht="17.100000000000001" customHeight="1" x14ac:dyDescent="0.2">
      <c r="B21" s="69"/>
      <c r="C21" s="70"/>
      <c r="D21" s="69"/>
      <c r="E21" s="69"/>
      <c r="F21" s="69"/>
    </row>
  </sheetData>
  <mergeCells count="1">
    <mergeCell ref="D2:E2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9</vt:i4>
      </vt:variant>
    </vt:vector>
  </HeadingPairs>
  <TitlesOfParts>
    <vt:vector size="9" baseType="lpstr">
      <vt:lpstr>Kat A-1</vt:lpstr>
      <vt:lpstr>Kat A-2</vt:lpstr>
      <vt:lpstr>Kat B-Sie&amp;Er</vt:lpstr>
      <vt:lpstr>Kat C-Schüler</vt:lpstr>
      <vt:lpstr>Kat Firmen</vt:lpstr>
      <vt:lpstr>Template</vt:lpstr>
      <vt:lpstr>Konfiguration</vt:lpstr>
      <vt:lpstr>Samstag</vt:lpstr>
      <vt:lpstr>Sonntag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Kai Moczyk</dc:creator>
  <cp:lastModifiedBy>Simon</cp:lastModifiedBy>
  <cp:lastPrinted>2007-07-28T13:10:59Z</cp:lastPrinted>
  <dcterms:created xsi:type="dcterms:W3CDTF">2002-02-21T07:48:38Z</dcterms:created>
  <dcterms:modified xsi:type="dcterms:W3CDTF">2013-09-16T20:24:47Z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1602303656</vt:i4>
  </property>
  <property fmtid="{D5CDD505-2E9C-101B-9397-08002B2CF9AE}" pid="3" name="_NewReviewCycle">
    <vt:lpwstr/>
  </property>
  <property fmtid="{D5CDD505-2E9C-101B-9397-08002B2CF9AE}" pid="4" name="_EmailSubject">
    <vt:lpwstr>Turnierplan</vt:lpwstr>
  </property>
  <property fmtid="{D5CDD505-2E9C-101B-9397-08002B2CF9AE}" pid="5" name="_AuthorEmail">
    <vt:lpwstr>Fritz.Weyermann@swisscom.com</vt:lpwstr>
  </property>
  <property fmtid="{D5CDD505-2E9C-101B-9397-08002B2CF9AE}" pid="6" name="_AuthorEmailDisplayName">
    <vt:lpwstr>Weyermann Fritz, ITS-CPT-SE-SSE</vt:lpwstr>
  </property>
  <property fmtid="{D5CDD505-2E9C-101B-9397-08002B2CF9AE}" pid="7" name="_ReviewingToolsShownOnce">
    <vt:lpwstr/>
  </property>
</Properties>
</file>